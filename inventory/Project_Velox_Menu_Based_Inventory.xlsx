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f075adb14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51e2857523c64e71"/>
    <x:sheet xmlns:r="http://schemas.openxmlformats.org/officeDocument/2006/relationships" name="Assumptions" sheetId="2" r:id="Rec64cd7709264fd3"/>
    <x:sheet xmlns:r="http://schemas.openxmlformats.org/officeDocument/2006/relationships" name="Recipes" sheetId="3" r:id="R34803490397a465d"/>
    <x:sheet xmlns:r="http://schemas.openxmlformats.org/officeDocument/2006/relationships" name="Inventory" sheetId="4" r:id="R23eb95cb503c4827"/>
    <x:sheet xmlns:r="http://schemas.openxmlformats.org/officeDocument/2006/relationships" name="Summary" sheetId="5" r:id="Ree9072fb51794bfc"/>
    <x:sheet xmlns:r="http://schemas.openxmlformats.org/officeDocument/2006/relationships" name="README" sheetId="6" r:id="R12e6146de1ae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.00"/>
    <x:numFmt numFmtId="165" formatCode="0.0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1D4ED8"/>
    </x:font>
    <x:font>
      <x:b/>
      <x:sz val="16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E5E7EB"/>
      </x:patternFill>
    </x:fill>
  </x:fills>
  <x:borders count="2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1" xfId="0" applyAlignment="1">
      <x:alignment horizontal="left" vertical="center"/>
    </x:xf>
    <x:xf numFmtId="0" fontId="0" fillId="0" borderId="1" xfId="0" applyAlignment="1">
      <x:alignment vertical="center"/>
    </x:xf>
    <x:xf numFmtId="164" fontId="0" fillId="0" borderId="1" xfId="0" applyAlignment="1">
      <x:alignment vertical="center"/>
    </x:xf>
    <x:xf numFmtId="0" fontId="0" fillId="0" borderId="1" xfId="0" applyAlignment="1">
      <x:alignment vertical="top" wrapText="1"/>
    </x:xf>
    <x:xf numFmtId="0" fontId="2" fillId="0" borderId="1" xfId="0" applyAlignment="1">
      <x:alignment vertical="center"/>
    </x:xf>
    <x:xf numFmtId="2" fontId="0" fillId="0" borderId="1" xfId="0" applyAlignment="1">
      <x:alignment vertical="center"/>
    </x:xf>
    <x:xf numFmtId="1" fontId="0" fillId="0" borderId="1" xfId="0" applyAlignment="1">
      <x:alignment vertical="center"/>
    </x:xf>
    <x:xf numFmtId="0" fontId="0" fillId="0" borderId="1" xfId="0" applyAlignment="1">
      <x:alignment horizontal="left" vertical="center"/>
    </x:xf>
    <x:xf numFmtId="165" fontId="0" fillId="0" borderId="1" xfId="0" applyAlignment="1">
      <x:alignment vertical="center"/>
    </x:xf>
    <x:xf numFmtId="0" fontId="3" fillId="0" borderId="0" xfId="0"/>
    <x:xf numFmtId="164" fontId="0" fillId="0" borderId="0" xfId="0"/>
    <x:xf numFmtId="1" fontId="0" fillId="0" borderId="0" xfId="0"/>
    <x:xf numFmtId="0" fontId="4" fillId="3" borderId="1" xfId="0"/>
    <x:xf numFmtId="0" fontId="0" fillId="0" borderId="1" xfId="0" applyAlignment="1">
      <x:alignment horizontal="right" vertical="center"/>
    </x:xf>
    <x:xf numFmtId="0" fontId="0" fillId="0" borderId="0" xfId="0" applyAlignment="1">
      <x:alignment vertical="top" wrapText="1"/>
    </x:xf>
    <x:xf numFmtId="2" fontId="0" fillId="0" borderId="1" xfId="0" applyAlignment="1">
      <x:alignment horizontal="right" vertical="center"/>
    </x:xf>
  </x:cellXfs>
  <x:cellStyles count="1">
    <x:cellStyle name="Normal" xfId="0"/>
  </x:cellStyles>
  <x:dxfs count="1">
    <x:dxf>
      <x:fill>
        <x:patternFill>
          <x:bgColor rgb="00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12fe598ae4b7f" /><Relationship Type="http://schemas.openxmlformats.org/officeDocument/2006/relationships/theme" Target="/xl/theme/theme1.xml" Id="R07525cfbc62b4804" /><Relationship Type="http://schemas.openxmlformats.org/officeDocument/2006/relationships/sharedStrings" Target="/xl/sharedStrings.xml" Id="R238055bdd46847e7" /><Relationship Type="http://schemas.openxmlformats.org/officeDocument/2006/relationships/worksheet" Target="/xl/worksheets/sheet1.xml" Id="R51e2857523c64e71" /><Relationship Type="http://schemas.openxmlformats.org/officeDocument/2006/relationships/worksheet" Target="/xl/worksheets/sheet2.xml" Id="Rec64cd7709264fd3" /><Relationship Type="http://schemas.openxmlformats.org/officeDocument/2006/relationships/worksheet" Target="/xl/worksheets/sheet3.xml" Id="R34803490397a465d" /><Relationship Type="http://schemas.openxmlformats.org/officeDocument/2006/relationships/worksheet" Target="/xl/worksheets/sheet4.xml" Id="R23eb95cb503c4827" /><Relationship Type="http://schemas.openxmlformats.org/officeDocument/2006/relationships/worksheet" Target="/xl/worksheets/sheet5.xml" Id="Ree9072fb51794bfc" /><Relationship Type="http://schemas.openxmlformats.org/officeDocument/2006/relationships/worksheet" Target="/xl/worksheets/sheet6.xml" Id="R12e6146de1ae4ff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22" customWidth="1"/>
    <x:col min="4" max="4" width="10" customWidth="1"/>
    <x:col min="5" max="5" width="18" customWidth="1"/>
    <x:col min="6" max="6" width="58" customWidth="1"/>
  </x:cols>
  <x:sheetData>
    <x:row r="1">
      <x:c r="A1" s="1" t="inlineStr">
        <x:is>
          <x:t xml:space="preserve">Cocktail ID</x:t>
        </x:is>
      </x:c>
      <x:c r="B1" s="1" t="inlineStr">
        <x:is>
          <x:t xml:space="preserve">Section</x:t>
        </x:is>
      </x:c>
      <x:c r="C1" s="1" t="inlineStr">
        <x:is>
          <x:t xml:space="preserve">Item</x:t>
        </x:is>
      </x:c>
      <x:c r="D1" s="1" t="inlineStr">
        <x:is>
          <x:t xml:space="preserve">Price</x:t>
        </x:is>
      </x:c>
      <x:c r="E1" s="1" t="inlineStr">
        <x:is>
          <x:t xml:space="preserve">Allergens</x:t>
        </x:is>
      </x:c>
      <x:c r="F1" s="1" t="inlineStr">
        <x:is>
          <x:t xml:space="preserve">Notes</x:t>
        </x:is>
      </x:c>
    </x:row>
    <x:row r="2">
      <x:c r="A2" s="2" t="n">
        <x:v>1</x:v>
      </x:c>
      <x:c r="B2" s="2" t="inlineStr">
        <x:is>
          <x:t xml:space="preserve">Toxic Spill</x:t>
        </x:is>
      </x:c>
      <x:c r="C2" s="2" t="inlineStr">
        <x:is>
          <x:t xml:space="preserve">Trauma Bonding</x:t>
        </x:is>
      </x:c>
      <x:c r="D2" s="3" t="n">
        <x:v>16</x:v>
      </x:c>
      <x:c r="E2" s="4" t="inlineStr">
        <x:is>
          <x:t xml:space="preserve"/>
        </x:is>
      </x:c>
      <x:c r="F2" s="4" t="inlineStr">
        <x:is>
          <x:t xml:space="preserve">Penicillin riff meets painkiller with smoky mezcal and a ginger kick</x:t>
        </x:is>
      </x:c>
    </x:row>
    <x:row r="3">
      <x:c r="A3" s="2" t="n">
        <x:v>2</x:v>
      </x:c>
      <x:c r="B3" s="2" t="inlineStr">
        <x:is>
          <x:t xml:space="preserve">Toxic Spill</x:t>
        </x:is>
      </x:c>
      <x:c r="C3" s="2" t="inlineStr">
        <x:is>
          <x:t xml:space="preserve">Escape Route</x:t>
        </x:is>
      </x:c>
      <x:c r="D3" s="3" t="n">
        <x:v>16</x:v>
      </x:c>
      <x:c r="E3" s="4" t="inlineStr">
        <x:is>
          <x:t xml:space="preserve">Contains soy</x:t>
        </x:is>
      </x:c>
      <x:c r="F3" s="4" t="inlineStr">
        <x:is>
          <x:t xml:space="preserve">Urgent mix of tequila, unique rhum, silky carrot and savory soy</x:t>
        </x:is>
      </x:c>
    </x:row>
    <x:row r="4">
      <x:c r="A4" s="2" t="n">
        <x:v>3</x:v>
      </x:c>
      <x:c r="B4" s="2" t="inlineStr">
        <x:is>
          <x:t xml:space="preserve">Toxic Spill</x:t>
        </x:is>
      </x:c>
      <x:c r="C4" s="2" t="inlineStr">
        <x:is>
          <x:t xml:space="preserve">Knuckle Cruncher</x:t>
        </x:is>
      </x:c>
      <x:c r="D4" s="3" t="n">
        <x:v>16</x:v>
      </x:c>
      <x:c r="E4" s="4" t="inlineStr">
        <x:is>
          <x:t xml:space="preserve"/>
        </x:is>
      </x:c>
      <x:c r="F4" s="4" t="inlineStr">
        <x:is>
          <x:t xml:space="preserve">Pornstar margarita inspired crusher with juicy red fruit and light fizz</x:t>
        </x:is>
      </x:c>
    </x:row>
    <x:row r="5">
      <x:c r="A5" s="2" t="n">
        <x:v>4</x:v>
      </x:c>
      <x:c r="B5" s="2" t="inlineStr">
        <x:is>
          <x:t xml:space="preserve">Toxic Spill</x:t>
        </x:is>
      </x:c>
      <x:c r="C5" s="2" t="inlineStr">
        <x:is>
          <x:t xml:space="preserve">Urban Legend</x:t>
        </x:is>
      </x:c>
      <x:c r="D5" s="3" t="n">
        <x:v>16</x:v>
      </x:c>
      <x:c r="E5" s="4" t="inlineStr">
        <x:is>
          <x:t xml:space="preserve"/>
        </x:is>
      </x:c>
      <x:c r="F5" s="4" t="inlineStr">
        <x:is>
          <x:t xml:space="preserve">Juicy and spice-driven rum punch with butterscotch and island funk</x:t>
        </x:is>
      </x:c>
    </x:row>
    <x:row r="6">
      <x:c r="A6" s="2" t="n">
        <x:v>5</x:v>
      </x:c>
      <x:c r="B6" s="2" t="inlineStr">
        <x:is>
          <x:t xml:space="preserve">Toxic Spill</x:t>
        </x:is>
      </x:c>
      <x:c r="C6" s="2" t="inlineStr">
        <x:is>
          <x:t xml:space="preserve">Human Costume</x:t>
        </x:is>
      </x:c>
      <x:c r="D6" s="3" t="n">
        <x:v>16</x:v>
      </x:c>
      <x:c r="E6" s="4" t="inlineStr">
        <x:is>
          <x:t xml:space="preserve"/>
        </x:is>
      </x:c>
      <x:c r="F6" s="4" t="inlineStr">
        <x:is>
          <x:t xml:space="preserve">Last word meets blanc negroni with a crispy finish</x:t>
        </x:is>
      </x:c>
    </x:row>
    <x:row r="7">
      <x:c r="A7" s="2" t="n">
        <x:v>6</x:v>
      </x:c>
      <x:c r="B7" s="2" t="inlineStr">
        <x:is>
          <x:t xml:space="preserve">Toxic Spill</x:t>
        </x:is>
      </x:c>
      <x:c r="C7" s="2" t="inlineStr">
        <x:is>
          <x:t xml:space="preserve">Slap Tagger</x:t>
        </x:is>
      </x:c>
      <x:c r="D7" s="3" t="n">
        <x:v>16</x:v>
      </x:c>
      <x:c r="E7" s="4" t="inlineStr">
        <x:is>
          <x:t xml:space="preserve">Contains egg</x:t>
        </x:is>
      </x:c>
      <x:c r="F7" s="4" t="inlineStr">
        <x:is>
          <x:t xml:space="preserve">Upside-down aviation riff with seaweed salinity and blue foam</x:t>
        </x:is>
      </x:c>
    </x:row>
    <x:row r="8">
      <x:c r="A8" s="2" t="n">
        <x:v>7</x:v>
      </x:c>
      <x:c r="B8" s="2" t="inlineStr">
        <x:is>
          <x:t xml:space="preserve">Lazy Classics</x:t>
        </x:is>
      </x:c>
      <x:c r="C8" s="2" t="inlineStr">
        <x:is>
          <x:t xml:space="preserve">Lazy Tiger</x:t>
        </x:is>
      </x:c>
      <x:c r="D8" s="3" t="n">
        <x:v>14</x:v>
      </x:c>
      <x:c r="E8" s="4" t="inlineStr">
        <x:is>
          <x:t xml:space="preserve"/>
        </x:is>
      </x:c>
      <x:c r="F8" s="4" t="inlineStr">
        <x:is>
          <x:t xml:space="preserve">Earthy smoky margarita with lingering spice</x:t>
        </x:is>
      </x:c>
    </x:row>
    <x:row r="9">
      <x:c r="A9" s="2" t="n">
        <x:v>8</x:v>
      </x:c>
      <x:c r="B9" s="2" t="inlineStr">
        <x:is>
          <x:t xml:space="preserve">Lazy Classics</x:t>
        </x:is>
      </x:c>
      <x:c r="C9" s="2" t="inlineStr">
        <x:is>
          <x:t xml:space="preserve">Humble Brag</x:t>
        </x:is>
      </x:c>
      <x:c r="D9" s="3" t="n">
        <x:v>14</x:v>
      </x:c>
      <x:c r="E9" s="4" t="inlineStr">
        <x:is>
          <x:t xml:space="preserve"/>
        </x:is>
      </x:c>
      <x:c r="F9" s="4" t="inlineStr">
        <x:is>
          <x:t xml:space="preserve">Silky and tropical gin banger</x:t>
        </x:is>
      </x:c>
    </x:row>
    <x:row r="10">
      <x:c r="A10" s="2" t="n">
        <x:v>9</x:v>
      </x:c>
      <x:c r="B10" s="2" t="inlineStr">
        <x:is>
          <x:t xml:space="preserve">Lazy Classics</x:t>
        </x:is>
      </x:c>
      <x:c r="C10" s="2" t="inlineStr">
        <x:is>
          <x:t xml:space="preserve">Low Country</x:t>
        </x:is>
      </x:c>
      <x:c r="D10" s="3" t="n">
        <x:v>14</x:v>
      </x:c>
      <x:c r="E10" s="4" t="inlineStr">
        <x:is>
          <x:t xml:space="preserve"/>
        </x:is>
      </x:c>
      <x:c r="F10" s="4" t="inlineStr">
        <x:is>
          <x:t xml:space="preserve">Floral and citrusy whiskey with a salty finish</x:t>
        </x:is>
      </x:c>
    </x:row>
    <x:row r="11">
      <x:c r="A11" s="2" t="n">
        <x:v>10</x:v>
      </x:c>
      <x:c r="B11" s="2" t="inlineStr">
        <x:is>
          <x:t xml:space="preserve">Lazy Classics</x:t>
        </x:is>
      </x:c>
      <x:c r="C11" s="2" t="inlineStr">
        <x:is>
          <x:t xml:space="preserve">One Trick Pony</x:t>
        </x:is>
      </x:c>
      <x:c r="D11" s="3" t="n">
        <x:v>14</x:v>
      </x:c>
      <x:c r="E11" s="4" t="inlineStr">
        <x:is>
          <x:t xml:space="preserve"/>
        </x:is>
      </x:c>
      <x:c r="F11" s="4" t="inlineStr">
        <x:is>
          <x:t xml:space="preserve">Old fashioned with backwoods grit</x:t>
        </x:is>
      </x:c>
    </x:row>
    <x:row r="12">
      <x:c r="A12" s="2" t="n">
        <x:v>11</x:v>
      </x:c>
      <x:c r="B12" s="2" t="inlineStr">
        <x:is>
          <x:t xml:space="preserve">Lazy Classics</x:t>
        </x:is>
      </x:c>
      <x:c r="C12" s="2" t="inlineStr">
        <x:is>
          <x:t xml:space="preserve">Budgy Smuggler</x:t>
        </x:is>
      </x:c>
      <x:c r="D12" s="3" t="n">
        <x:v>14</x:v>
      </x:c>
      <x:c r="E12" s="4" t="inlineStr">
        <x:is>
          <x:t xml:space="preserve">Contains dairy</x:t>
        </x:is>
      </x:c>
      <x:c r="F12" s="4" t="inlineStr">
        <x:is>
          <x:t xml:space="preserve">Refreshing clarified milk punch</x:t>
        </x:is>
      </x:c>
    </x:row>
    <x:row r="13">
      <x:c r="A13" s="2" t="n">
        <x:v>12</x:v>
      </x:c>
      <x:c r="B13" s="2" t="inlineStr">
        <x:is>
          <x:t xml:space="preserve">Lazy Classics</x:t>
        </x:is>
      </x:c>
      <x:c r="C13" s="2" t="inlineStr">
        <x:is>
          <x:t xml:space="preserve">St. Louis Catholic</x:t>
        </x:is>
      </x:c>
      <x:c r="D13" s="3" t="n">
        <x:v>14</x:v>
      </x:c>
      <x:c r="E13" s="4" t="inlineStr">
        <x:is>
          <x:t xml:space="preserve"/>
        </x:is>
      </x:c>
      <x:c r="F13" s="4" t="inlineStr">
        <x:is>
          <x:t xml:space="preserve">Vegetal and earthy black manhattan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24" customWidth="1"/>
    <x:col min="3" max="3" width="20" customWidth="1"/>
    <x:col min="4" max="4" width="45" customWidth="1"/>
  </x:cols>
  <x:sheetData>
    <x:row r="1">
      <x:c r="A1" s="1" t="inlineStr">
        <x:is>
          <x:t xml:space="preserve">Cocktail ID</x:t>
        </x:is>
      </x:c>
      <x:c r="B1" s="1" t="inlineStr">
        <x:is>
          <x:t xml:space="preserve">Cocktail</x:t>
        </x:is>
      </x:c>
      <x:c r="C1" s="1" t="inlineStr">
        <x:is>
          <x:t xml:space="preserve">Weekly Sales (Input)</x:t>
        </x:is>
      </x:c>
      <x:c r="D1" s="1" t="inlineStr">
        <x:is>
          <x:t xml:space="preserve">Notes</x:t>
        </x:is>
      </x:c>
    </x:row>
    <x:row r="2">
      <x:c r="A2" s="2" t="n">
        <x:v>1</x:v>
      </x:c>
      <x:c r="B2" s="2" t="inlineStr">
        <x:is>
          <x:t xml:space="preserve">Trauma Bonding</x:t>
        </x:is>
      </x:c>
      <x:c r="C2" s="5" t="n">
        <x:v>30</x:v>
      </x:c>
      <x:c r="D2" s="4" t="inlineStr">
        <x:is>
          <x:t xml:space="preserve"/>
        </x:is>
      </x:c>
    </x:row>
    <x:row r="3">
      <x:c r="A3" s="2" t="n">
        <x:v>2</x:v>
      </x:c>
      <x:c r="B3" s="2" t="inlineStr">
        <x:is>
          <x:t xml:space="preserve">Escape Route</x:t>
        </x:is>
      </x:c>
      <x:c r="C3" s="5" t="n">
        <x:v>20</x:v>
      </x:c>
      <x:c r="D3" s="4" t="inlineStr">
        <x:is>
          <x:t xml:space="preserve"/>
        </x:is>
      </x:c>
    </x:row>
    <x:row r="4">
      <x:c r="A4" s="2" t="n">
        <x:v>3</x:v>
      </x:c>
      <x:c r="B4" s="2" t="inlineStr">
        <x:is>
          <x:t xml:space="preserve">Knuckle Cruncher</x:t>
        </x:is>
      </x:c>
      <x:c r="C4" s="5" t="n">
        <x:v>25</x:v>
      </x:c>
      <x:c r="D4" s="4" t="inlineStr">
        <x:is>
          <x:t xml:space="preserve"/>
        </x:is>
      </x:c>
    </x:row>
    <x:row r="5">
      <x:c r="A5" s="2" t="n">
        <x:v>4</x:v>
      </x:c>
      <x:c r="B5" s="2" t="inlineStr">
        <x:is>
          <x:t xml:space="preserve">Urban Legend</x:t>
        </x:is>
      </x:c>
      <x:c r="C5" s="5" t="n">
        <x:v>22</x:v>
      </x:c>
      <x:c r="D5" s="4" t="inlineStr">
        <x:is>
          <x:t xml:space="preserve"/>
        </x:is>
      </x:c>
    </x:row>
    <x:row r="6">
      <x:c r="A6" s="2" t="n">
        <x:v>5</x:v>
      </x:c>
      <x:c r="B6" s="2" t="inlineStr">
        <x:is>
          <x:t xml:space="preserve">Human Costume</x:t>
        </x:is>
      </x:c>
      <x:c r="C6" s="5" t="n">
        <x:v>18</x:v>
      </x:c>
      <x:c r="D6" s="4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Slap Tagger</x:t>
        </x:is>
      </x:c>
      <x:c r="C7" s="5" t="n">
        <x:v>15</x:v>
      </x:c>
      <x:c r="D7" s="4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Lazy Tiger</x:t>
        </x:is>
      </x:c>
      <x:c r="C8" s="5" t="n">
        <x:v>55</x:v>
      </x:c>
      <x:c r="D8" s="4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Humble Brag</x:t>
        </x:is>
      </x:c>
      <x:c r="C9" s="5" t="n">
        <x:v>28</x:v>
      </x:c>
      <x:c r="D9" s="4" t="inlineStr">
        <x:is>
          <x:t xml:space="preserve"/>
        </x:is>
      </x:c>
    </x:row>
    <x:row r="10">
      <x:c r="A10" s="2" t="n">
        <x:v>9</x:v>
      </x:c>
      <x:c r="B10" s="2" t="inlineStr">
        <x:is>
          <x:t xml:space="preserve">Low Country</x:t>
        </x:is>
      </x:c>
      <x:c r="C10" s="5" t="n">
        <x:v>20</x:v>
      </x:c>
      <x:c r="D10" s="4" t="inlineStr">
        <x:is>
          <x:t xml:space="preserve"/>
        </x:is>
      </x:c>
    </x:row>
    <x:row r="11">
      <x:c r="A11" s="2" t="n">
        <x:v>10</x:v>
      </x:c>
      <x:c r="B11" s="2" t="inlineStr">
        <x:is>
          <x:t xml:space="preserve">One Trick Pony</x:t>
        </x:is>
      </x:c>
      <x:c r="C11" s="5" t="n">
        <x:v>18</x:v>
      </x:c>
      <x:c r="D11" s="4" t="inlineStr">
        <x:is>
          <x:t xml:space="preserve"/>
        </x:is>
      </x:c>
    </x:row>
    <x:row r="12">
      <x:c r="A12" s="2" t="n">
        <x:v>11</x:v>
      </x:c>
      <x:c r="B12" s="2" t="inlineStr">
        <x:is>
          <x:t xml:space="preserve">Budgy Smuggler</x:t>
        </x:is>
      </x:c>
      <x:c r="C12" s="5" t="n">
        <x:v>16</x:v>
      </x:c>
      <x:c r="D12" s="4" t="inlineStr">
        <x:is>
          <x:t xml:space="preserve"/>
        </x:is>
      </x:c>
    </x:row>
    <x:row r="13">
      <x:c r="A13" s="2" t="n">
        <x:v>12</x:v>
      </x:c>
      <x:c r="B13" s="2" t="inlineStr">
        <x:is>
          <x:t xml:space="preserve">St. Louis Catholic</x:t>
        </x:is>
      </x:c>
      <x:c r="C13" s="5" t="n">
        <x:v>14</x:v>
      </x:c>
      <x:c r="D13" s="4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22" customWidth="1"/>
    <x:col min="3" max="3" width="24" customWidth="1"/>
    <x:col min="4" max="4" width="14" customWidth="1"/>
    <x:col min="5" max="5" width="10" customWidth="1"/>
    <x:col min="6" max="6" width="14" customWidth="1"/>
    <x:col min="7" max="7" width="18" customWidth="1"/>
  </x:cols>
  <x:sheetData>
    <x:row r="1">
      <x:c r="A1" s="1" t="inlineStr">
        <x:is>
          <x:t xml:space="preserve">Cocktail ID</x:t>
        </x:is>
      </x:c>
      <x:c r="B1" s="1" t="inlineStr">
        <x:is>
          <x:t xml:space="preserve">Cocktail</x:t>
        </x:is>
      </x:c>
      <x:c r="C1" s="1" t="inlineStr">
        <x:is>
          <x:t xml:space="preserve">Ingredient</x:t>
        </x:is>
      </x:c>
      <x:c r="D1" s="1" t="inlineStr">
        <x:is>
          <x:t xml:space="preserve">Qty / Drink</x:t>
        </x:is>
      </x:c>
      <x:c r="E1" s="1" t="inlineStr">
        <x:is>
          <x:t xml:space="preserve">Unit</x:t>
        </x:is>
      </x:c>
      <x:c r="F1" s="1" t="inlineStr">
        <x:is>
          <x:t xml:space="preserve">Weekly Sales</x:t>
        </x:is>
      </x:c>
      <x:c r="G1" s="1" t="inlineStr">
        <x:is>
          <x:t xml:space="preserve">Weekly Usage (base)</x:t>
        </x:is>
      </x:c>
    </x:row>
    <x:row r="2">
      <x:c r="A2" s="2" t="n">
        <x:v>1</x:v>
      </x:c>
      <x:c r="B2" s="2" t="inlineStr">
        <x:is>
          <x:t xml:space="preserve">Trauma Bonding</x:t>
        </x:is>
      </x:c>
      <x:c r="C2" s="2" t="inlineStr">
        <x:is>
          <x:t xml:space="preserve">Mezcal</x:t>
        </x:is>
      </x:c>
      <x:c r="D2" s="6" t="n">
        <x:v>1.5</x:v>
      </x:c>
      <x:c r="E2" s="2" t="inlineStr">
        <x:is>
          <x:t xml:space="preserve">oz</x:t>
        </x:is>
      </x:c>
      <x:c r="F2" s="7" t="n">
        <x:v>30</x:v>
      </x:c>
      <x:c r="G2" s="6" t="n">
        <x:v>45</x:v>
      </x:c>
    </x:row>
    <x:row r="3">
      <x:c r="A3" s="2" t="n">
        <x:v>1</x:v>
      </x:c>
      <x:c r="B3" s="2" t="inlineStr">
        <x:is>
          <x:t xml:space="preserve">Trauma Bonding</x:t>
        </x:is>
      </x:c>
      <x:c r="C3" s="2" t="inlineStr">
        <x:is>
          <x:t xml:space="preserve">Mexican Rum</x:t>
        </x:is>
      </x:c>
      <x:c r="D3" s="6" t="n">
        <x:v>0.5</x:v>
      </x:c>
      <x:c r="E3" s="2" t="inlineStr">
        <x:is>
          <x:t xml:space="preserve">oz</x:t>
        </x:is>
      </x:c>
      <x:c r="F3" s="7" t="n">
        <x:v>30</x:v>
      </x:c>
      <x:c r="G3" s="6" t="n">
        <x:v>15</x:v>
      </x:c>
    </x:row>
    <x:row r="4">
      <x:c r="A4" s="2" t="n">
        <x:v>1</x:v>
      </x:c>
      <x:c r="B4" s="2" t="inlineStr">
        <x:is>
          <x:t xml:space="preserve">Trauma Bonding</x:t>
        </x:is>
      </x:c>
      <x:c r="C4" s="2" t="inlineStr">
        <x:is>
          <x:t xml:space="preserve">Sherry</x:t>
        </x:is>
      </x:c>
      <x:c r="D4" s="6" t="n">
        <x:v>0.5</x:v>
      </x:c>
      <x:c r="E4" s="2" t="inlineStr">
        <x:is>
          <x:t xml:space="preserve">oz</x:t>
        </x:is>
      </x:c>
      <x:c r="F4" s="7" t="n">
        <x:v>30</x:v>
      </x:c>
      <x:c r="G4" s="6" t="n">
        <x:v>15</x:v>
      </x:c>
    </x:row>
    <x:row r="5">
      <x:c r="A5" s="2" t="n">
        <x:v>1</x:v>
      </x:c>
      <x:c r="B5" s="2" t="inlineStr">
        <x:is>
          <x:t xml:space="preserve">Trauma Bonding</x:t>
        </x:is>
      </x:c>
      <x:c r="C5" s="2" t="inlineStr">
        <x:is>
          <x:t xml:space="preserve">Pistachio Syrup</x:t>
        </x:is>
      </x:c>
      <x:c r="D5" s="6" t="n">
        <x:v>0.5</x:v>
      </x:c>
      <x:c r="E5" s="2" t="inlineStr">
        <x:is>
          <x:t xml:space="preserve">oz</x:t>
        </x:is>
      </x:c>
      <x:c r="F5" s="7" t="n">
        <x:v>30</x:v>
      </x:c>
      <x:c r="G5" s="6" t="n">
        <x:v>15</x:v>
      </x:c>
    </x:row>
    <x:row r="6">
      <x:c r="A6" s="2" t="n">
        <x:v>1</x:v>
      </x:c>
      <x:c r="B6" s="2" t="inlineStr">
        <x:is>
          <x:t xml:space="preserve">Trauma Bonding</x:t>
        </x:is>
      </x:c>
      <x:c r="C6" s="2" t="inlineStr">
        <x:is>
          <x:t xml:space="preserve">Ginger Syrup</x:t>
        </x:is>
      </x:c>
      <x:c r="D6" s="6" t="n">
        <x:v>0.5</x:v>
      </x:c>
      <x:c r="E6" s="2" t="inlineStr">
        <x:is>
          <x:t xml:space="preserve">oz</x:t>
        </x:is>
      </x:c>
      <x:c r="F6" s="7" t="n">
        <x:v>30</x:v>
      </x:c>
      <x:c r="G6" s="6" t="n">
        <x:v>15</x:v>
      </x:c>
    </x:row>
    <x:row r="7">
      <x:c r="A7" s="2" t="n">
        <x:v>1</x:v>
      </x:c>
      <x:c r="B7" s="2" t="inlineStr">
        <x:is>
          <x:t xml:space="preserve">Trauma Bonding</x:t>
        </x:is>
      </x:c>
      <x:c r="C7" s="2" t="inlineStr">
        <x:is>
          <x:t xml:space="preserve">Coconut Cream</x:t>
        </x:is>
      </x:c>
      <x:c r="D7" s="6" t="n">
        <x:v>0.75</x:v>
      </x:c>
      <x:c r="E7" s="2" t="inlineStr">
        <x:is>
          <x:t xml:space="preserve">oz</x:t>
        </x:is>
      </x:c>
      <x:c r="F7" s="7" t="n">
        <x:v>30</x:v>
      </x:c>
      <x:c r="G7" s="6" t="n">
        <x:v>22.5</x:v>
      </x:c>
    </x:row>
    <x:row r="8">
      <x:c r="A8" s="2" t="n">
        <x:v>1</x:v>
      </x:c>
      <x:c r="B8" s="2" t="inlineStr">
        <x:is>
          <x:t xml:space="preserve">Trauma Bonding</x:t>
        </x:is>
      </x:c>
      <x:c r="C8" s="2" t="inlineStr">
        <x:is>
          <x:t xml:space="preserve">Lemon Juice</x:t>
        </x:is>
      </x:c>
      <x:c r="D8" s="6" t="n">
        <x:v>0.75</x:v>
      </x:c>
      <x:c r="E8" s="2" t="inlineStr">
        <x:is>
          <x:t xml:space="preserve">oz</x:t>
        </x:is>
      </x:c>
      <x:c r="F8" s="7" t="n">
        <x:v>30</x:v>
      </x:c>
      <x:c r="G8" s="6" t="n">
        <x:v>22.5</x:v>
      </x:c>
    </x:row>
    <x:row r="9">
      <x:c r="A9" s="2" t="n">
        <x:v>2</x:v>
      </x:c>
      <x:c r="B9" s="2" t="inlineStr">
        <x:is>
          <x:t xml:space="preserve">Escape Route</x:t>
        </x:is>
      </x:c>
      <x:c r="C9" s="2" t="inlineStr">
        <x:is>
          <x:t xml:space="preserve">Blanco Tequila</x:t>
        </x:is>
      </x:c>
      <x:c r="D9" s="6" t="n">
        <x:v>1.5</x:v>
      </x:c>
      <x:c r="E9" s="2" t="inlineStr">
        <x:is>
          <x:t xml:space="preserve">oz</x:t>
        </x:is>
      </x:c>
      <x:c r="F9" s="7" t="n">
        <x:v>20</x:v>
      </x:c>
      <x:c r="G9" s="6" t="n">
        <x:v>30</x:v>
      </x:c>
    </x:row>
    <x:row r="10">
      <x:c r="A10" s="2" t="n">
        <x:v>2</x:v>
      </x:c>
      <x:c r="B10" s="2" t="inlineStr">
        <x:is>
          <x:t xml:space="preserve">Escape Route</x:t>
        </x:is>
      </x:c>
      <x:c r="C10" s="2" t="inlineStr">
        <x:is>
          <x:t xml:space="preserve">French Rhum</x:t>
        </x:is>
      </x:c>
      <x:c r="D10" s="6" t="n">
        <x:v>0.5</x:v>
      </x:c>
      <x:c r="E10" s="2" t="inlineStr">
        <x:is>
          <x:t xml:space="preserve">oz</x:t>
        </x:is>
      </x:c>
      <x:c r="F10" s="7" t="n">
        <x:v>20</x:v>
      </x:c>
      <x:c r="G10" s="6" t="n">
        <x:v>10</x:v>
      </x:c>
    </x:row>
    <x:row r="11">
      <x:c r="A11" s="2" t="n">
        <x:v>2</x:v>
      </x:c>
      <x:c r="B11" s="2" t="inlineStr">
        <x:is>
          <x:t xml:space="preserve">Escape Route</x:t>
        </x:is>
      </x:c>
      <x:c r="C11" s="2" t="inlineStr">
        <x:is>
          <x:t xml:space="preserve">Carrot Juice</x:t>
        </x:is>
      </x:c>
      <x:c r="D11" s="6" t="n">
        <x:v>0.75</x:v>
      </x:c>
      <x:c r="E11" s="2" t="inlineStr">
        <x:is>
          <x:t xml:space="preserve">oz</x:t>
        </x:is>
      </x:c>
      <x:c r="F11" s="7" t="n">
        <x:v>20</x:v>
      </x:c>
      <x:c r="G11" s="6" t="n">
        <x:v>15</x:v>
      </x:c>
    </x:row>
    <x:row r="12">
      <x:c r="A12" s="2" t="n">
        <x:v>2</x:v>
      </x:c>
      <x:c r="B12" s="2" t="inlineStr">
        <x:is>
          <x:t xml:space="preserve">Escape Route</x:t>
        </x:is>
      </x:c>
      <x:c r="C12" s="2" t="inlineStr">
        <x:is>
          <x:t xml:space="preserve">Apricot Syrup</x:t>
        </x:is>
      </x:c>
      <x:c r="D12" s="6" t="n">
        <x:v>0.5</x:v>
      </x:c>
      <x:c r="E12" s="2" t="inlineStr">
        <x:is>
          <x:t xml:space="preserve">oz</x:t>
        </x:is>
      </x:c>
      <x:c r="F12" s="7" t="n">
        <x:v>20</x:v>
      </x:c>
      <x:c r="G12" s="6" t="n">
        <x:v>10</x:v>
      </x:c>
    </x:row>
    <x:row r="13">
      <x:c r="A13" s="2" t="n">
        <x:v>2</x:v>
      </x:c>
      <x:c r="B13" s="2" t="inlineStr">
        <x:is>
          <x:t xml:space="preserve">Escape Route</x:t>
        </x:is>
      </x:c>
      <x:c r="C13" s="2" t="inlineStr">
        <x:is>
          <x:t xml:space="preserve">Lime Juice</x:t>
        </x:is>
      </x:c>
      <x:c r="D13" s="6" t="n">
        <x:v>0.75</x:v>
      </x:c>
      <x:c r="E13" s="2" t="inlineStr">
        <x:is>
          <x:t xml:space="preserve">oz</x:t>
        </x:is>
      </x:c>
      <x:c r="F13" s="7" t="n">
        <x:v>20</x:v>
      </x:c>
      <x:c r="G13" s="6" t="n">
        <x:v>15</x:v>
      </x:c>
    </x:row>
    <x:row r="14">
      <x:c r="A14" s="2" t="n">
        <x:v>2</x:v>
      </x:c>
      <x:c r="B14" s="2" t="inlineStr">
        <x:is>
          <x:t xml:space="preserve">Escape Route</x:t>
        </x:is>
      </x:c>
      <x:c r="C14" s="2" t="inlineStr">
        <x:is>
          <x:t xml:space="preserve">Tamari</x:t>
        </x:is>
      </x:c>
      <x:c r="D14" s="6" t="n">
        <x:v>0.1</x:v>
      </x:c>
      <x:c r="E14" s="2" t="inlineStr">
        <x:is>
          <x:t xml:space="preserve">oz</x:t>
        </x:is>
      </x:c>
      <x:c r="F14" s="7" t="n">
        <x:v>20</x:v>
      </x:c>
      <x:c r="G14" s="6" t="n">
        <x:v>2</x:v>
      </x:c>
    </x:row>
    <x:row r="15">
      <x:c r="A15" s="2" t="n">
        <x:v>3</x:v>
      </x:c>
      <x:c r="B15" s="2" t="inlineStr">
        <x:is>
          <x:t xml:space="preserve">Knuckle Cruncher</x:t>
        </x:is>
      </x:c>
      <x:c r="C15" s="2" t="inlineStr">
        <x:is>
          <x:t xml:space="preserve">Reposado Tequila</x:t>
        </x:is>
      </x:c>
      <x:c r="D15" s="6" t="n">
        <x:v>1.5</x:v>
      </x:c>
      <x:c r="E15" s="2" t="inlineStr">
        <x:is>
          <x:t xml:space="preserve">oz</x:t>
        </x:is>
      </x:c>
      <x:c r="F15" s="7" t="n">
        <x:v>25</x:v>
      </x:c>
      <x:c r="G15" s="6" t="n">
        <x:v>37.5</x:v>
      </x:c>
    </x:row>
    <x:row r="16">
      <x:c r="A16" s="2" t="n">
        <x:v>3</x:v>
      </x:c>
      <x:c r="B16" s="2" t="inlineStr">
        <x:is>
          <x:t xml:space="preserve">Knuckle Cruncher</x:t>
        </x:is>
      </x:c>
      <x:c r="C16" s="2" t="inlineStr">
        <x:is>
          <x:t xml:space="preserve">Red Aperitif</x:t>
        </x:is>
      </x:c>
      <x:c r="D16" s="6" t="n">
        <x:v>0.5</x:v>
      </x:c>
      <x:c r="E16" s="2" t="inlineStr">
        <x:is>
          <x:t xml:space="preserve">oz</x:t>
        </x:is>
      </x:c>
      <x:c r="F16" s="7" t="n">
        <x:v>25</x:v>
      </x:c>
      <x:c r="G16" s="6" t="n">
        <x:v>12.5</x:v>
      </x:c>
    </x:row>
    <x:row r="17">
      <x:c r="A17" s="2" t="n">
        <x:v>3</x:v>
      </x:c>
      <x:c r="B17" s="2" t="inlineStr">
        <x:is>
          <x:t xml:space="preserve">Knuckle Cruncher</x:t>
        </x:is>
      </x:c>
      <x:c r="C17" s="2" t="inlineStr">
        <x:is>
          <x:t xml:space="preserve">Passionfruit Puree</x:t>
        </x:is>
      </x:c>
      <x:c r="D17" s="6" t="n">
        <x:v>0.75</x:v>
      </x:c>
      <x:c r="E17" s="2" t="inlineStr">
        <x:is>
          <x:t xml:space="preserve">oz</x:t>
        </x:is>
      </x:c>
      <x:c r="F17" s="7" t="n">
        <x:v>25</x:v>
      </x:c>
      <x:c r="G17" s="6" t="n">
        <x:v>18.75</x:v>
      </x:c>
    </x:row>
    <x:row r="18">
      <x:c r="A18" s="2" t="n">
        <x:v>3</x:v>
      </x:c>
      <x:c r="B18" s="2" t="inlineStr">
        <x:is>
          <x:t xml:space="preserve">Knuckle Cruncher</x:t>
        </x:is>
      </x:c>
      <x:c r="C18" s="2" t="inlineStr">
        <x:is>
          <x:t xml:space="preserve">Strawberry Puree</x:t>
        </x:is>
      </x:c>
      <x:c r="D18" s="6" t="n">
        <x:v>0.5</x:v>
      </x:c>
      <x:c r="E18" s="2" t="inlineStr">
        <x:is>
          <x:t xml:space="preserve">oz</x:t>
        </x:is>
      </x:c>
      <x:c r="F18" s="7" t="n">
        <x:v>25</x:v>
      </x:c>
      <x:c r="G18" s="6" t="n">
        <x:v>12.5</x:v>
      </x:c>
    </x:row>
    <x:row r="19">
      <x:c r="A19" s="2" t="n">
        <x:v>3</x:v>
      </x:c>
      <x:c r="B19" s="2" t="inlineStr">
        <x:is>
          <x:t xml:space="preserve">Knuckle Cruncher</x:t>
        </x:is>
      </x:c>
      <x:c r="C19" s="2" t="inlineStr">
        <x:is>
          <x:t xml:space="preserve">Lime Juice</x:t>
        </x:is>
      </x:c>
      <x:c r="D19" s="6" t="n">
        <x:v>0.75</x:v>
      </x:c>
      <x:c r="E19" s="2" t="inlineStr">
        <x:is>
          <x:t xml:space="preserve">oz</x:t>
        </x:is>
      </x:c>
      <x:c r="F19" s="7" t="n">
        <x:v>25</x:v>
      </x:c>
      <x:c r="G19" s="6" t="n">
        <x:v>18.75</x:v>
      </x:c>
    </x:row>
    <x:row r="20">
      <x:c r="A20" s="2" t="n">
        <x:v>3</x:v>
      </x:c>
      <x:c r="B20" s="2" t="inlineStr">
        <x:is>
          <x:t xml:space="preserve">Knuckle Cruncher</x:t>
        </x:is>
      </x:c>
      <x:c r="C20" s="2" t="inlineStr">
        <x:is>
          <x:t xml:space="preserve">Sparkling Wine</x:t>
        </x:is>
      </x:c>
      <x:c r="D20" s="6" t="n">
        <x:v>2</x:v>
      </x:c>
      <x:c r="E20" s="2" t="inlineStr">
        <x:is>
          <x:t xml:space="preserve">oz</x:t>
        </x:is>
      </x:c>
      <x:c r="F20" s="7" t="n">
        <x:v>25</x:v>
      </x:c>
      <x:c r="G20" s="6" t="n">
        <x:v>50</x:v>
      </x:c>
    </x:row>
    <x:row r="21">
      <x:c r="A21" s="2" t="n">
        <x:v>4</x:v>
      </x:c>
      <x:c r="B21" s="2" t="inlineStr">
        <x:is>
          <x:t xml:space="preserve">Urban Legend</x:t>
        </x:is>
      </x:c>
      <x:c r="C21" s="2" t="inlineStr">
        <x:is>
          <x:t xml:space="preserve">Smith &amp; Cross Jamaican Rum</x:t>
        </x:is>
      </x:c>
      <x:c r="D21" s="6" t="n">
        <x:v>1.5</x:v>
      </x:c>
      <x:c r="E21" s="2" t="inlineStr">
        <x:is>
          <x:t xml:space="preserve">oz</x:t>
        </x:is>
      </x:c>
      <x:c r="F21" s="7" t="n">
        <x:v>22</x:v>
      </x:c>
      <x:c r="G21" s="6" t="n">
        <x:v>33</x:v>
      </x:c>
    </x:row>
    <x:row r="22">
      <x:c r="A22" s="2" t="n">
        <x:v>4</x:v>
      </x:c>
      <x:c r="B22" s="2" t="inlineStr">
        <x:is>
          <x:t xml:space="preserve">Urban Legend</x:t>
        </x:is>
      </x:c>
      <x:c r="C22" s="2" t="inlineStr">
        <x:is>
          <x:t xml:space="preserve">Rainwater Madeira</x:t>
        </x:is>
      </x:c>
      <x:c r="D22" s="6" t="n">
        <x:v>0.5</x:v>
      </x:c>
      <x:c r="E22" s="2" t="inlineStr">
        <x:is>
          <x:t xml:space="preserve">oz</x:t>
        </x:is>
      </x:c>
      <x:c r="F22" s="7" t="n">
        <x:v>22</x:v>
      </x:c>
      <x:c r="G22" s="6" t="n">
        <x:v>11</x:v>
      </x:c>
    </x:row>
    <x:row r="23">
      <x:c r="A23" s="2" t="n">
        <x:v>4</x:v>
      </x:c>
      <x:c r="B23" s="2" t="inlineStr">
        <x:is>
          <x:t xml:space="preserve">Urban Legend</x:t>
        </x:is>
      </x:c>
      <x:c r="C23" s="2" t="inlineStr">
        <x:is>
          <x:t xml:space="preserve">Raspberry Syrup</x:t>
        </x:is>
      </x:c>
      <x:c r="D23" s="6" t="n">
        <x:v>0.5</x:v>
      </x:c>
      <x:c r="E23" s="2" t="inlineStr">
        <x:is>
          <x:t xml:space="preserve">oz</x:t>
        </x:is>
      </x:c>
      <x:c r="F23" s="7" t="n">
        <x:v>22</x:v>
      </x:c>
      <x:c r="G23" s="6" t="n">
        <x:v>11</x:v>
      </x:c>
    </x:row>
    <x:row r="24">
      <x:c r="A24" s="2" t="n">
        <x:v>4</x:v>
      </x:c>
      <x:c r="B24" s="2" t="inlineStr">
        <x:is>
          <x:t xml:space="preserve">Urban Legend</x:t>
        </x:is>
      </x:c>
      <x:c r="C24" s="2" t="inlineStr">
        <x:is>
          <x:t xml:space="preserve">Orgeat (Almond)</x:t>
        </x:is>
      </x:c>
      <x:c r="D24" s="6" t="n">
        <x:v>0.5</x:v>
      </x:c>
      <x:c r="E24" s="2" t="inlineStr">
        <x:is>
          <x:t xml:space="preserve">oz</x:t>
        </x:is>
      </x:c>
      <x:c r="F24" s="7" t="n">
        <x:v>22</x:v>
      </x:c>
      <x:c r="G24" s="6" t="n">
        <x:v>11</x:v>
      </x:c>
    </x:row>
    <x:row r="25">
      <x:c r="A25" s="2" t="n">
        <x:v>4</x:v>
      </x:c>
      <x:c r="B25" s="2" t="inlineStr">
        <x:is>
          <x:t xml:space="preserve">Urban Legend</x:t>
        </x:is>
      </x:c>
      <x:c r="C25" s="2" t="inlineStr">
        <x:is>
          <x:t xml:space="preserve">Falernum</x:t>
        </x:is>
      </x:c>
      <x:c r="D25" s="6" t="n">
        <x:v>0.25</x:v>
      </x:c>
      <x:c r="E25" s="2" t="inlineStr">
        <x:is>
          <x:t xml:space="preserve">oz</x:t>
        </x:is>
      </x:c>
      <x:c r="F25" s="7" t="n">
        <x:v>22</x:v>
      </x:c>
      <x:c r="G25" s="6" t="n">
        <x:v>5.5</x:v>
      </x:c>
    </x:row>
    <x:row r="26">
      <x:c r="A26" s="2" t="n">
        <x:v>4</x:v>
      </x:c>
      <x:c r="B26" s="2" t="inlineStr">
        <x:is>
          <x:t xml:space="preserve">Urban Legend</x:t>
        </x:is>
      </x:c>
      <x:c r="C26" s="2" t="inlineStr">
        <x:is>
          <x:t xml:space="preserve">Lemon Juice</x:t>
        </x:is>
      </x:c>
      <x:c r="D26" s="6" t="n">
        <x:v>0.75</x:v>
      </x:c>
      <x:c r="E26" s="2" t="inlineStr">
        <x:is>
          <x:t xml:space="preserve">oz</x:t>
        </x:is>
      </x:c>
      <x:c r="F26" s="7" t="n">
        <x:v>22</x:v>
      </x:c>
      <x:c r="G26" s="6" t="n">
        <x:v>16.5</x:v>
      </x:c>
    </x:row>
    <x:row r="27">
      <x:c r="A27" s="2" t="n">
        <x:v>4</x:v>
      </x:c>
      <x:c r="B27" s="2" t="inlineStr">
        <x:is>
          <x:t xml:space="preserve">Urban Legend</x:t>
        </x:is>
      </x:c>
      <x:c r="C27" s="2" t="inlineStr">
        <x:is>
          <x:t xml:space="preserve">Topo Chico</x:t>
        </x:is>
      </x:c>
      <x:c r="D27" s="6" t="n">
        <x:v>2</x:v>
      </x:c>
      <x:c r="E27" s="2" t="inlineStr">
        <x:is>
          <x:t xml:space="preserve">oz</x:t>
        </x:is>
      </x:c>
      <x:c r="F27" s="7" t="n">
        <x:v>22</x:v>
      </x:c>
      <x:c r="G27" s="6" t="n">
        <x:v>44</x:v>
      </x:c>
    </x:row>
    <x:row r="28">
      <x:c r="A28" s="2" t="n">
        <x:v>4</x:v>
      </x:c>
      <x:c r="B28" s="2" t="inlineStr">
        <x:is>
          <x:t xml:space="preserve">Urban Legend</x:t>
        </x:is>
      </x:c>
      <x:c r="C28" s="2" t="inlineStr">
        <x:is>
          <x:t xml:space="preserve">Butterscotch Syrup</x:t>
        </x:is>
      </x:c>
      <x:c r="D28" s="6" t="n">
        <x:v>0.25</x:v>
      </x:c>
      <x:c r="E28" s="2" t="inlineStr">
        <x:is>
          <x:t xml:space="preserve">oz</x:t>
        </x:is>
      </x:c>
      <x:c r="F28" s="7" t="n">
        <x:v>22</x:v>
      </x:c>
      <x:c r="G28" s="6" t="n">
        <x:v>5.5</x:v>
      </x:c>
    </x:row>
    <x:row r="29">
      <x:c r="A29" s="2" t="n">
        <x:v>5</x:v>
      </x:c>
      <x:c r="B29" s="2" t="inlineStr">
        <x:is>
          <x:t xml:space="preserve">Human Costume</x:t>
        </x:is>
      </x:c>
      <x:c r="C29" s="2" t="inlineStr">
        <x:is>
          <x:t xml:space="preserve">Bombay Gin</x:t>
        </x:is>
      </x:c>
      <x:c r="D29" s="6" t="n">
        <x:v>1</x:v>
      </x:c>
      <x:c r="E29" s="2" t="inlineStr">
        <x:is>
          <x:t xml:space="preserve">oz</x:t>
        </x:is>
      </x:c>
      <x:c r="F29" s="7" t="n">
        <x:v>18</x:v>
      </x:c>
      <x:c r="G29" s="6" t="n">
        <x:v>18</x:v>
      </x:c>
    </x:row>
    <x:row r="30">
      <x:c r="A30" s="2" t="n">
        <x:v>5</x:v>
      </x:c>
      <x:c r="B30" s="2" t="inlineStr">
        <x:is>
          <x:t xml:space="preserve">Human Costume</x:t>
        </x:is>
      </x:c>
      <x:c r="C30" s="2" t="inlineStr">
        <x:is>
          <x:t xml:space="preserve">Bianco Amaro</x:t>
        </x:is>
      </x:c>
      <x:c r="D30" s="6" t="n">
        <x:v>0.75</x:v>
      </x:c>
      <x:c r="E30" s="2" t="inlineStr">
        <x:is>
          <x:t xml:space="preserve">oz</x:t>
        </x:is>
      </x:c>
      <x:c r="F30" s="7" t="n">
        <x:v>18</x:v>
      </x:c>
      <x:c r="G30" s="6" t="n">
        <x:v>13.5</x:v>
      </x:c>
    </x:row>
    <x:row r="31">
      <x:c r="A31" s="2" t="n">
        <x:v>5</x:v>
      </x:c>
      <x:c r="B31" s="2" t="inlineStr">
        <x:is>
          <x:t xml:space="preserve">Human Costume</x:t>
        </x:is>
      </x:c>
      <x:c r="C31" s="2" t="inlineStr">
        <x:is>
          <x:t xml:space="preserve">Spanish Blanc Vermouth</x:t>
        </x:is>
      </x:c>
      <x:c r="D31" s="6" t="n">
        <x:v>0.75</x:v>
      </x:c>
      <x:c r="E31" s="2" t="inlineStr">
        <x:is>
          <x:t xml:space="preserve">oz</x:t>
        </x:is>
      </x:c>
      <x:c r="F31" s="7" t="n">
        <x:v>18</x:v>
      </x:c>
      <x:c r="G31" s="6" t="n">
        <x:v>13.5</x:v>
      </x:c>
    </x:row>
    <x:row r="32">
      <x:c r="A32" s="2" t="n">
        <x:v>5</x:v>
      </x:c>
      <x:c r="B32" s="2" t="inlineStr">
        <x:is>
          <x:t xml:space="preserve">Human Costume</x:t>
        </x:is>
      </x:c>
      <x:c r="C32" s="2" t="inlineStr">
        <x:is>
          <x:t xml:space="preserve">Melon Syrup</x:t>
        </x:is>
      </x:c>
      <x:c r="D32" s="6" t="n">
        <x:v>0.25</x:v>
      </x:c>
      <x:c r="E32" s="2" t="inlineStr">
        <x:is>
          <x:t xml:space="preserve">oz</x:t>
        </x:is>
      </x:c>
      <x:c r="F32" s="7" t="n">
        <x:v>18</x:v>
      </x:c>
      <x:c r="G32" s="6" t="n">
        <x:v>4.5</x:v>
      </x:c>
    </x:row>
    <x:row r="33">
      <x:c r="A33" s="2" t="n">
        <x:v>5</x:v>
      </x:c>
      <x:c r="B33" s="2" t="inlineStr">
        <x:is>
          <x:t xml:space="preserve">Human Costume</x:t>
        </x:is>
      </x:c>
      <x:c r="C33" s="2" t="inlineStr">
        <x:is>
          <x:t xml:space="preserve">Gnartrueuse (Herbal)</x:t>
        </x:is>
      </x:c>
      <x:c r="D33" s="6" t="n">
        <x:v>0.25</x:v>
      </x:c>
      <x:c r="E33" s="2" t="inlineStr">
        <x:is>
          <x:t xml:space="preserve">oz</x:t>
        </x:is>
      </x:c>
      <x:c r="F33" s="7" t="n">
        <x:v>18</x:v>
      </x:c>
      <x:c r="G33" s="6" t="n">
        <x:v>4.5</x:v>
      </x:c>
    </x:row>
    <x:row r="34">
      <x:c r="A34" s="2" t="n">
        <x:v>5</x:v>
      </x:c>
      <x:c r="B34" s="2" t="inlineStr">
        <x:is>
          <x:t xml:space="preserve">Human Costume</x:t>
        </x:is>
      </x:c>
      <x:c r="C34" s="2" t="inlineStr">
        <x:is>
          <x:t xml:space="preserve">Malic Acid</x:t>
        </x:is>
      </x:c>
      <x:c r="D34" s="6" t="n">
        <x:v>2</x:v>
      </x:c>
      <x:c r="E34" s="2" t="inlineStr">
        <x:is>
          <x:t xml:space="preserve">g</x:t>
        </x:is>
      </x:c>
      <x:c r="F34" s="7" t="n">
        <x:v>18</x:v>
      </x:c>
      <x:c r="G34" s="6" t="n">
        <x:v>36</x:v>
      </x:c>
    </x:row>
    <x:row r="35">
      <x:c r="A35" s="2" t="n">
        <x:v>6</x:v>
      </x:c>
      <x:c r="B35" s="2" t="inlineStr">
        <x:is>
          <x:t xml:space="preserve">Slap Tagger</x:t>
        </x:is>
      </x:c>
      <x:c r="C35" s="2" t="inlineStr">
        <x:is>
          <x:t xml:space="preserve">Rieger Gin</x:t>
        </x:is>
      </x:c>
      <x:c r="D35" s="6" t="n">
        <x:v>1.5</x:v>
      </x:c>
      <x:c r="E35" s="2" t="inlineStr">
        <x:is>
          <x:t xml:space="preserve">oz</x:t>
        </x:is>
      </x:c>
      <x:c r="F35" s="7" t="n">
        <x:v>15</x:v>
      </x:c>
      <x:c r="G35" s="6" t="n">
        <x:v>22.5</x:v>
      </x:c>
    </x:row>
    <x:row r="36">
      <x:c r="A36" s="2" t="n">
        <x:v>6</x:v>
      </x:c>
      <x:c r="B36" s="2" t="inlineStr">
        <x:is>
          <x:t xml:space="preserve">Slap Tagger</x:t>
        </x:is>
      </x:c>
      <x:c r="C36" s="2" t="inlineStr">
        <x:is>
          <x:t xml:space="preserve">Dry Vermouth</x:t>
        </x:is>
      </x:c>
      <x:c r="D36" s="6" t="n">
        <x:v>0.5</x:v>
      </x:c>
      <x:c r="E36" s="2" t="inlineStr">
        <x:is>
          <x:t xml:space="preserve">oz</x:t>
        </x:is>
      </x:c>
      <x:c r="F36" s="7" t="n">
        <x:v>15</x:v>
      </x:c>
      <x:c r="G36" s="6" t="n">
        <x:v>7.5</x:v>
      </x:c>
    </x:row>
    <x:row r="37">
      <x:c r="A37" s="2" t="n">
        <x:v>6</x:v>
      </x:c>
      <x:c r="B37" s="2" t="inlineStr">
        <x:is>
          <x:t xml:space="preserve">Slap Tagger</x:t>
        </x:is>
      </x:c>
      <x:c r="C37" s="2" t="inlineStr">
        <x:is>
          <x:t xml:space="preserve">Maraschino Liqueur</x:t>
        </x:is>
      </x:c>
      <x:c r="D37" s="6" t="n">
        <x:v>0.25</x:v>
      </x:c>
      <x:c r="E37" s="2" t="inlineStr">
        <x:is>
          <x:t xml:space="preserve">oz</x:t>
        </x:is>
      </x:c>
      <x:c r="F37" s="7" t="n">
        <x:v>15</x:v>
      </x:c>
      <x:c r="G37" s="6" t="n">
        <x:v>3.75</x:v>
      </x:c>
    </x:row>
    <x:row r="38">
      <x:c r="A38" s="2" t="n">
        <x:v>6</x:v>
      </x:c>
      <x:c r="B38" s="2" t="inlineStr">
        <x:is>
          <x:t xml:space="preserve">Slap Tagger</x:t>
        </x:is>
      </x:c>
      <x:c r="C38" s="2" t="inlineStr">
        <x:is>
          <x:t xml:space="preserve">Dragonfruit Puree</x:t>
        </x:is>
      </x:c>
      <x:c r="D38" s="6" t="n">
        <x:v>0.75</x:v>
      </x:c>
      <x:c r="E38" s="2" t="inlineStr">
        <x:is>
          <x:t xml:space="preserve">oz</x:t>
        </x:is>
      </x:c>
      <x:c r="F38" s="7" t="n">
        <x:v>15</x:v>
      </x:c>
      <x:c r="G38" s="6" t="n">
        <x:v>11.25</x:v>
      </x:c>
    </x:row>
    <x:row r="39">
      <x:c r="A39" s="2" t="n">
        <x:v>6</x:v>
      </x:c>
      <x:c r="B39" s="2" t="inlineStr">
        <x:is>
          <x:t xml:space="preserve">Slap Tagger</x:t>
        </x:is>
      </x:c>
      <x:c r="C39" s="2" t="inlineStr">
        <x:is>
          <x:t xml:space="preserve">Lemon Juice</x:t>
        </x:is>
      </x:c>
      <x:c r="D39" s="6" t="n">
        <x:v>0.75</x:v>
      </x:c>
      <x:c r="E39" s="2" t="inlineStr">
        <x:is>
          <x:t xml:space="preserve">oz</x:t>
        </x:is>
      </x:c>
      <x:c r="F39" s="7" t="n">
        <x:v>15</x:v>
      </x:c>
      <x:c r="G39" s="6" t="n">
        <x:v>11.25</x:v>
      </x:c>
    </x:row>
    <x:row r="40">
      <x:c r="A40" s="2" t="n">
        <x:v>6</x:v>
      </x:c>
      <x:c r="B40" s="2" t="inlineStr">
        <x:is>
          <x:t xml:space="preserve">Slap Tagger</x:t>
        </x:is>
      </x:c>
      <x:c r="C40" s="2" t="inlineStr">
        <x:is>
          <x:t xml:space="preserve">Blue Curacao Foam Base</x:t>
        </x:is>
      </x:c>
      <x:c r="D40" s="6" t="n">
        <x:v>0.5</x:v>
      </x:c>
      <x:c r="E40" s="2" t="inlineStr">
        <x:is>
          <x:t xml:space="preserve">oz</x:t>
        </x:is>
      </x:c>
      <x:c r="F40" s="7" t="n">
        <x:v>15</x:v>
      </x:c>
      <x:c r="G40" s="6" t="n">
        <x:v>7.5</x:v>
      </x:c>
    </x:row>
    <x:row r="41">
      <x:c r="A41" s="2" t="n">
        <x:v>6</x:v>
      </x:c>
      <x:c r="B41" s="2" t="inlineStr">
        <x:is>
          <x:t xml:space="preserve">Slap Tagger</x:t>
        </x:is>
      </x:c>
      <x:c r="C41" s="2" t="inlineStr">
        <x:is>
          <x:t xml:space="preserve">Kombu Bitters</x:t>
        </x:is>
      </x:c>
      <x:c r="D41" s="6" t="n">
        <x:v>0.04</x:v>
      </x:c>
      <x:c r="E41" s="2" t="inlineStr">
        <x:is>
          <x:t xml:space="preserve">oz</x:t>
        </x:is>
      </x:c>
      <x:c r="F41" s="7" t="n">
        <x:v>15</x:v>
      </x:c>
      <x:c r="G41" s="6" t="n">
        <x:v>0.6</x:v>
      </x:c>
    </x:row>
    <x:row r="42">
      <x:c r="A42" s="2" t="n">
        <x:v>6</x:v>
      </x:c>
      <x:c r="B42" s="2" t="inlineStr">
        <x:is>
          <x:t xml:space="preserve">Slap Tagger</x:t>
        </x:is>
      </x:c>
      <x:c r="C42" s="2" t="inlineStr">
        <x:is>
          <x:t xml:space="preserve">Egg Whites</x:t>
        </x:is>
      </x:c>
      <x:c r="D42" s="6" t="n">
        <x:v>0.5</x:v>
      </x:c>
      <x:c r="E42" s="2" t="inlineStr">
        <x:is>
          <x:t xml:space="preserve">oz</x:t>
        </x:is>
      </x:c>
      <x:c r="F42" s="7" t="n">
        <x:v>15</x:v>
      </x:c>
      <x:c r="G42" s="6" t="n">
        <x:v>7.5</x:v>
      </x:c>
    </x:row>
    <x:row r="43">
      <x:c r="A43" s="2" t="n">
        <x:v>7</x:v>
      </x:c>
      <x:c r="B43" s="2" t="inlineStr">
        <x:is>
          <x:t xml:space="preserve">Lazy Tiger</x:t>
        </x:is>
      </x:c>
      <x:c r="C43" s="2" t="inlineStr">
        <x:is>
          <x:t xml:space="preserve">Mezcal</x:t>
        </x:is>
      </x:c>
      <x:c r="D43" s="6" t="n">
        <x:v>2</x:v>
      </x:c>
      <x:c r="E43" s="2" t="inlineStr">
        <x:is>
          <x:t xml:space="preserve">oz</x:t>
        </x:is>
      </x:c>
      <x:c r="F43" s="7" t="n">
        <x:v>55</x:v>
      </x:c>
      <x:c r="G43" s="6" t="n">
        <x:v>110</x:v>
      </x:c>
    </x:row>
    <x:row r="44">
      <x:c r="A44" s="2" t="n">
        <x:v>7</x:v>
      </x:c>
      <x:c r="B44" s="2" t="inlineStr">
        <x:is>
          <x:t xml:space="preserve">Lazy Tiger</x:t>
        </x:is>
      </x:c>
      <x:c r="C44" s="2" t="inlineStr">
        <x:is>
          <x:t xml:space="preserve">Agave Shrub</x:t>
        </x:is>
      </x:c>
      <x:c r="D44" s="6" t="n">
        <x:v>0.75</x:v>
      </x:c>
      <x:c r="E44" s="2" t="inlineStr">
        <x:is>
          <x:t xml:space="preserve">oz</x:t>
        </x:is>
      </x:c>
      <x:c r="F44" s="7" t="n">
        <x:v>55</x:v>
      </x:c>
      <x:c r="G44" s="6" t="n">
        <x:v>41.25</x:v>
      </x:c>
    </x:row>
    <x:row r="45">
      <x:c r="A45" s="2" t="n">
        <x:v>7</x:v>
      </x:c>
      <x:c r="B45" s="2" t="inlineStr">
        <x:is>
          <x:t xml:space="preserve">Lazy Tiger</x:t>
        </x:is>
      </x:c>
      <x:c r="C45" s="2" t="inlineStr">
        <x:is>
          <x:t xml:space="preserve">Serrano Peppers</x:t>
        </x:is>
      </x:c>
      <x:c r="D45" s="6" t="n">
        <x:v>0.1</x:v>
      </x:c>
      <x:c r="E45" s="2" t="inlineStr">
        <x:is>
          <x:t xml:space="preserve">oz</x:t>
        </x:is>
      </x:c>
      <x:c r="F45" s="7" t="n">
        <x:v>55</x:v>
      </x:c>
      <x:c r="G45" s="6" t="n">
        <x:v>5.5</x:v>
      </x:c>
    </x:row>
    <x:row r="46">
      <x:c r="A46" s="2" t="n">
        <x:v>7</x:v>
      </x:c>
      <x:c r="B46" s="2" t="inlineStr">
        <x:is>
          <x:t xml:space="preserve">Lazy Tiger</x:t>
        </x:is>
      </x:c>
      <x:c r="C46" s="2" t="inlineStr">
        <x:is>
          <x:t xml:space="preserve">Honey Syrup</x:t>
        </x:is>
      </x:c>
      <x:c r="D46" s="6" t="n">
        <x:v>0.25</x:v>
      </x:c>
      <x:c r="E46" s="2" t="inlineStr">
        <x:is>
          <x:t xml:space="preserve">oz</x:t>
        </x:is>
      </x:c>
      <x:c r="F46" s="7" t="n">
        <x:v>55</x:v>
      </x:c>
      <x:c r="G46" s="6" t="n">
        <x:v>13.75</x:v>
      </x:c>
    </x:row>
    <x:row r="47">
      <x:c r="A47" s="2" t="n">
        <x:v>7</x:v>
      </x:c>
      <x:c r="B47" s="2" t="inlineStr">
        <x:is>
          <x:t xml:space="preserve">Lazy Tiger</x:t>
        </x:is>
      </x:c>
      <x:c r="C47" s="2" t="inlineStr">
        <x:is>
          <x:t xml:space="preserve">Tajin</x:t>
        </x:is>
      </x:c>
      <x:c r="D47" s="6" t="n">
        <x:v>1</x:v>
      </x:c>
      <x:c r="E47" s="2" t="inlineStr">
        <x:is>
          <x:t xml:space="preserve">g</x:t>
        </x:is>
      </x:c>
      <x:c r="F47" s="7" t="n">
        <x:v>55</x:v>
      </x:c>
      <x:c r="G47" s="6" t="n">
        <x:v>55</x:v>
      </x:c>
    </x:row>
    <x:row r="48">
      <x:c r="A48" s="2" t="n">
        <x:v>7</x:v>
      </x:c>
      <x:c r="B48" s="2" t="inlineStr">
        <x:is>
          <x:t xml:space="preserve">Lazy Tiger</x:t>
        </x:is>
      </x:c>
      <x:c r="C48" s="2" t="inlineStr">
        <x:is>
          <x:t xml:space="preserve">Lime Juice</x:t>
        </x:is>
      </x:c>
      <x:c r="D48" s="6" t="n">
        <x:v>0.75</x:v>
      </x:c>
      <x:c r="E48" s="2" t="inlineStr">
        <x:is>
          <x:t xml:space="preserve">oz</x:t>
        </x:is>
      </x:c>
      <x:c r="F48" s="7" t="n">
        <x:v>55</x:v>
      </x:c>
      <x:c r="G48" s="6" t="n">
        <x:v>41.25</x:v>
      </x:c>
    </x:row>
    <x:row r="49">
      <x:c r="A49" s="2" t="n">
        <x:v>8</x:v>
      </x:c>
      <x:c r="B49" s="2" t="inlineStr">
        <x:is>
          <x:t xml:space="preserve">Humble Brag</x:t>
        </x:is>
      </x:c>
      <x:c r="C49" s="2" t="inlineStr">
        <x:is>
          <x:t xml:space="preserve">Rieger Gin</x:t>
        </x:is>
      </x:c>
      <x:c r="D49" s="6" t="n">
        <x:v>1.5</x:v>
      </x:c>
      <x:c r="E49" s="2" t="inlineStr">
        <x:is>
          <x:t xml:space="preserve">oz</x:t>
        </x:is>
      </x:c>
      <x:c r="F49" s="7" t="n">
        <x:v>28</x:v>
      </x:c>
      <x:c r="G49" s="6" t="n">
        <x:v>42</x:v>
      </x:c>
    </x:row>
    <x:row r="50">
      <x:c r="A50" s="2" t="n">
        <x:v>8</x:v>
      </x:c>
      <x:c r="B50" s="2" t="inlineStr">
        <x:is>
          <x:t xml:space="preserve">Humble Brag</x:t>
        </x:is>
      </x:c>
      <x:c r="C50" s="2" t="inlineStr">
        <x:is>
          <x:t xml:space="preserve">Haitian Rhum</x:t>
        </x:is>
      </x:c>
      <x:c r="D50" s="6" t="n">
        <x:v>0.5</x:v>
      </x:c>
      <x:c r="E50" s="2" t="inlineStr">
        <x:is>
          <x:t xml:space="preserve">oz</x:t>
        </x:is>
      </x:c>
      <x:c r="F50" s="7" t="n">
        <x:v>28</x:v>
      </x:c>
      <x:c r="G50" s="6" t="n">
        <x:v>14</x:v>
      </x:c>
    </x:row>
    <x:row r="51">
      <x:c r="A51" s="2" t="n">
        <x:v>8</x:v>
      </x:c>
      <x:c r="B51" s="2" t="inlineStr">
        <x:is>
          <x:t xml:space="preserve">Humble Brag</x:t>
        </x:is>
      </x:c>
      <x:c r="C51" s="2" t="inlineStr">
        <x:is>
          <x:t xml:space="preserve">Salted Banana Syrup</x:t>
        </x:is>
      </x:c>
      <x:c r="D51" s="6" t="n">
        <x:v>0.5</x:v>
      </x:c>
      <x:c r="E51" s="2" t="inlineStr">
        <x:is>
          <x:t xml:space="preserve">oz</x:t>
        </x:is>
      </x:c>
      <x:c r="F51" s="7" t="n">
        <x:v>28</x:v>
      </x:c>
      <x:c r="G51" s="6" t="n">
        <x:v>14</x:v>
      </x:c>
    </x:row>
    <x:row r="52">
      <x:c r="A52" s="2" t="n">
        <x:v>8</x:v>
      </x:c>
      <x:c r="B52" s="2" t="inlineStr">
        <x:is>
          <x:t xml:space="preserve">Humble Brag</x:t>
        </x:is>
      </x:c>
      <x:c r="C52" s="2" t="inlineStr">
        <x:is>
          <x:t xml:space="preserve">Forbidden Rice Syrup</x:t>
        </x:is>
      </x:c>
      <x:c r="D52" s="6" t="n">
        <x:v>0.25</x:v>
      </x:c>
      <x:c r="E52" s="2" t="inlineStr">
        <x:is>
          <x:t xml:space="preserve">oz</x:t>
        </x:is>
      </x:c>
      <x:c r="F52" s="7" t="n">
        <x:v>28</x:v>
      </x:c>
      <x:c r="G52" s="6" t="n">
        <x:v>7</x:v>
      </x:c>
    </x:row>
    <x:row r="53">
      <x:c r="A53" s="2" t="n">
        <x:v>8</x:v>
      </x:c>
      <x:c r="B53" s="2" t="inlineStr">
        <x:is>
          <x:t xml:space="preserve">Humble Brag</x:t>
        </x:is>
      </x:c>
      <x:c r="C53" s="2" t="inlineStr">
        <x:is>
          <x:t xml:space="preserve">Coconut Cream</x:t>
        </x:is>
      </x:c>
      <x:c r="D53" s="6" t="n">
        <x:v>0.5</x:v>
      </x:c>
      <x:c r="E53" s="2" t="inlineStr">
        <x:is>
          <x:t xml:space="preserve">oz</x:t>
        </x:is>
      </x:c>
      <x:c r="F53" s="7" t="n">
        <x:v>28</x:v>
      </x:c>
      <x:c r="G53" s="6" t="n">
        <x:v>14</x:v>
      </x:c>
    </x:row>
    <x:row r="54">
      <x:c r="A54" s="2" t="n">
        <x:v>8</x:v>
      </x:c>
      <x:c r="B54" s="2" t="inlineStr">
        <x:is>
          <x:t xml:space="preserve">Humble Brag</x:t>
        </x:is>
      </x:c>
      <x:c r="C54" s="2" t="inlineStr">
        <x:is>
          <x:t xml:space="preserve">Lemon Juice</x:t>
        </x:is>
      </x:c>
      <x:c r="D54" s="6" t="n">
        <x:v>0.75</x:v>
      </x:c>
      <x:c r="E54" s="2" t="inlineStr">
        <x:is>
          <x:t xml:space="preserve">oz</x:t>
        </x:is>
      </x:c>
      <x:c r="F54" s="7" t="n">
        <x:v>28</x:v>
      </x:c>
      <x:c r="G54" s="6" t="n">
        <x:v>21</x:v>
      </x:c>
    </x:row>
    <x:row r="55">
      <x:c r="A55" s="2" t="n">
        <x:v>9</x:v>
      </x:c>
      <x:c r="B55" s="2" t="inlineStr">
        <x:is>
          <x:t xml:space="preserve">Low Country</x:t>
        </x:is>
      </x:c>
      <x:c r="C55" s="2" t="inlineStr">
        <x:is>
          <x:t xml:space="preserve">Bourbon</x:t>
        </x:is>
      </x:c>
      <x:c r="D55" s="6" t="n">
        <x:v>1.75</x:v>
      </x:c>
      <x:c r="E55" s="2" t="inlineStr">
        <x:is>
          <x:t xml:space="preserve">oz</x:t>
        </x:is>
      </x:c>
      <x:c r="F55" s="7" t="n">
        <x:v>20</x:v>
      </x:c>
      <x:c r="G55" s="6" t="n">
        <x:v>35</x:v>
      </x:c>
    </x:row>
    <x:row r="56">
      <x:c r="A56" s="2" t="n">
        <x:v>9</x:v>
      </x:c>
      <x:c r="B56" s="2" t="inlineStr">
        <x:is>
          <x:t xml:space="preserve">Low Country</x:t>
        </x:is>
      </x:c>
      <x:c r="C56" s="2" t="inlineStr">
        <x:is>
          <x:t xml:space="preserve">Sun-Dried Tomato Sherry</x:t>
        </x:is>
      </x:c>
      <x:c r="D56" s="6" t="n">
        <x:v>0.5</x:v>
      </x:c>
      <x:c r="E56" s="2" t="inlineStr">
        <x:is>
          <x:t xml:space="preserve">oz</x:t>
        </x:is>
      </x:c>
      <x:c r="F56" s="7" t="n">
        <x:v>20</x:v>
      </x:c>
      <x:c r="G56" s="6" t="n">
        <x:v>10</x:v>
      </x:c>
    </x:row>
    <x:row r="57">
      <x:c r="A57" s="2" t="n">
        <x:v>9</x:v>
      </x:c>
      <x:c r="B57" s="2" t="inlineStr">
        <x:is>
          <x:t xml:space="preserve">Low Country</x:t>
        </x:is>
      </x:c>
      <x:c r="C57" s="2" t="inlineStr">
        <x:is>
          <x:t xml:space="preserve">Pink Guava Puree</x:t>
        </x:is>
      </x:c>
      <x:c r="D57" s="6" t="n">
        <x:v>0.5</x:v>
      </x:c>
      <x:c r="E57" s="2" t="inlineStr">
        <x:is>
          <x:t xml:space="preserve">oz</x:t>
        </x:is>
      </x:c>
      <x:c r="F57" s="7" t="n">
        <x:v>20</x:v>
      </x:c>
      <x:c r="G57" s="6" t="n">
        <x:v>10</x:v>
      </x:c>
    </x:row>
    <x:row r="58">
      <x:c r="A58" s="2" t="n">
        <x:v>9</x:v>
      </x:c>
      <x:c r="B58" s="2" t="inlineStr">
        <x:is>
          <x:t xml:space="preserve">Low Country</x:t>
        </x:is>
      </x:c>
      <x:c r="C58" s="2" t="inlineStr">
        <x:is>
          <x:t xml:space="preserve">Japanese Citrus Juice</x:t>
        </x:is>
      </x:c>
      <x:c r="D58" s="6" t="n">
        <x:v>0.25</x:v>
      </x:c>
      <x:c r="E58" s="2" t="inlineStr">
        <x:is>
          <x:t xml:space="preserve">oz</x:t>
        </x:is>
      </x:c>
      <x:c r="F58" s="7" t="n">
        <x:v>20</x:v>
      </x:c>
      <x:c r="G58" s="6" t="n">
        <x:v>5</x:v>
      </x:c>
    </x:row>
    <x:row r="59">
      <x:c r="A59" s="2" t="n">
        <x:v>9</x:v>
      </x:c>
      <x:c r="B59" s="2" t="inlineStr">
        <x:is>
          <x:t xml:space="preserve">Low Country</x:t>
        </x:is>
      </x:c>
      <x:c r="C59" s="2" t="inlineStr">
        <x:is>
          <x:t xml:space="preserve">Aromatic Bitters</x:t>
        </x:is>
      </x:c>
      <x:c r="D59" s="6" t="n">
        <x:v>0.04</x:v>
      </x:c>
      <x:c r="E59" s="2" t="inlineStr">
        <x:is>
          <x:t xml:space="preserve">oz</x:t>
        </x:is>
      </x:c>
      <x:c r="F59" s="7" t="n">
        <x:v>20</x:v>
      </x:c>
      <x:c r="G59" s="6" t="n">
        <x:v>0.8</x:v>
      </x:c>
    </x:row>
    <x:row r="60">
      <x:c r="A60" s="2" t="n">
        <x:v>10</x:v>
      </x:c>
      <x:c r="B60" s="2" t="inlineStr">
        <x:is>
          <x:t xml:space="preserve">One Trick Pony</x:t>
        </x:is>
      </x:c>
      <x:c r="C60" s="2" t="inlineStr">
        <x:is>
          <x:t xml:space="preserve">High West Double Rye</x:t>
        </x:is>
      </x:c>
      <x:c r="D60" s="6" t="n">
        <x:v>2</x:v>
      </x:c>
      <x:c r="E60" s="2" t="inlineStr">
        <x:is>
          <x:t xml:space="preserve">oz</x:t>
        </x:is>
      </x:c>
      <x:c r="F60" s="7" t="n">
        <x:v>18</x:v>
      </x:c>
      <x:c r="G60" s="6" t="n">
        <x:v>36</x:v>
      </x:c>
    </x:row>
    <x:row r="61">
      <x:c r="A61" s="2" t="n">
        <x:v>10</x:v>
      </x:c>
      <x:c r="B61" s="2" t="inlineStr">
        <x:is>
          <x:t xml:space="preserve">One Trick Pony</x:t>
        </x:is>
      </x:c>
      <x:c r="C61" s="2" t="inlineStr">
        <x:is>
          <x:t xml:space="preserve">Aged Mexican Rum</x:t>
        </x:is>
      </x:c>
      <x:c r="D61" s="6" t="n">
        <x:v>0.25</x:v>
      </x:c>
      <x:c r="E61" s="2" t="inlineStr">
        <x:is>
          <x:t xml:space="preserve">oz</x:t>
        </x:is>
      </x:c>
      <x:c r="F61" s="7" t="n">
        <x:v>18</x:v>
      </x:c>
      <x:c r="G61" s="6" t="n">
        <x:v>4.5</x:v>
      </x:c>
    </x:row>
    <x:row r="62">
      <x:c r="A62" s="2" t="n">
        <x:v>10</x:v>
      </x:c>
      <x:c r="B62" s="2" t="inlineStr">
        <x:is>
          <x:t xml:space="preserve">One Trick Pony</x:t>
        </x:is>
      </x:c>
      <x:c r="C62" s="2" t="inlineStr">
        <x:is>
          <x:t xml:space="preserve">Peach Syrup</x:t>
        </x:is>
      </x:c>
      <x:c r="D62" s="6" t="n">
        <x:v>0.25</x:v>
      </x:c>
      <x:c r="E62" s="2" t="inlineStr">
        <x:is>
          <x:t xml:space="preserve">oz</x:t>
        </x:is>
      </x:c>
      <x:c r="F62" s="7" t="n">
        <x:v>18</x:v>
      </x:c>
      <x:c r="G62" s="6" t="n">
        <x:v>4.5</x:v>
      </x:c>
    </x:row>
    <x:row r="63">
      <x:c r="A63" s="2" t="n">
        <x:v>10</x:v>
      </x:c>
      <x:c r="B63" s="2" t="inlineStr">
        <x:is>
          <x:t xml:space="preserve">One Trick Pony</x:t>
        </x:is>
      </x:c>
      <x:c r="C63" s="2" t="inlineStr">
        <x:is>
          <x:t xml:space="preserve">Honey Syrup</x:t>
        </x:is>
      </x:c>
      <x:c r="D63" s="6" t="n">
        <x:v>0.25</x:v>
      </x:c>
      <x:c r="E63" s="2" t="inlineStr">
        <x:is>
          <x:t xml:space="preserve">oz</x:t>
        </x:is>
      </x:c>
      <x:c r="F63" s="7" t="n">
        <x:v>18</x:v>
      </x:c>
      <x:c r="G63" s="6" t="n">
        <x:v>4.5</x:v>
      </x:c>
    </x:row>
    <x:row r="64">
      <x:c r="A64" s="2" t="n">
        <x:v>10</x:v>
      </x:c>
      <x:c r="B64" s="2" t="inlineStr">
        <x:is>
          <x:t xml:space="preserve">One Trick Pony</x:t>
        </x:is>
      </x:c>
      <x:c r="C64" s="2" t="inlineStr">
        <x:is>
          <x:t xml:space="preserve">Ruibarbo Bitter</x:t>
        </x:is>
      </x:c>
      <x:c r="D64" s="6" t="n">
        <x:v>0.04</x:v>
      </x:c>
      <x:c r="E64" s="2" t="inlineStr">
        <x:is>
          <x:t xml:space="preserve">oz</x:t>
        </x:is>
      </x:c>
      <x:c r="F64" s="7" t="n">
        <x:v>18</x:v>
      </x:c>
      <x:c r="G64" s="6" t="n">
        <x:v>0.72</x:v>
      </x:c>
    </x:row>
    <x:row r="65">
      <x:c r="A65" s="2" t="n">
        <x:v>11</x:v>
      </x:c>
      <x:c r="B65" s="2" t="inlineStr">
        <x:is>
          <x:t xml:space="preserve">Budgy Smuggler</x:t>
        </x:is>
      </x:c>
      <x:c r="C65" s="2" t="inlineStr">
        <x:is>
          <x:t xml:space="preserve">London Dry Gin</x:t>
        </x:is>
      </x:c>
      <x:c r="D65" s="6" t="n">
        <x:v>1.5</x:v>
      </x:c>
      <x:c r="E65" s="2" t="inlineStr">
        <x:is>
          <x:t xml:space="preserve">oz</x:t>
        </x:is>
      </x:c>
      <x:c r="F65" s="7" t="n">
        <x:v>16</x:v>
      </x:c>
      <x:c r="G65" s="6" t="n">
        <x:v>24</x:v>
      </x:c>
    </x:row>
    <x:row r="66">
      <x:c r="A66" s="2" t="n">
        <x:v>11</x:v>
      </x:c>
      <x:c r="B66" s="2" t="inlineStr">
        <x:is>
          <x:t xml:space="preserve">Budgy Smuggler</x:t>
        </x:is>
      </x:c>
      <x:c r="C66" s="2" t="inlineStr">
        <x:is>
          <x:t xml:space="preserve">Carrot Juice</x:t>
        </x:is>
      </x:c>
      <x:c r="D66" s="6" t="n">
        <x:v>0.5</x:v>
      </x:c>
      <x:c r="E66" s="2" t="inlineStr">
        <x:is>
          <x:t xml:space="preserve">oz</x:t>
        </x:is>
      </x:c>
      <x:c r="F66" s="7" t="n">
        <x:v>16</x:v>
      </x:c>
      <x:c r="G66" s="6" t="n">
        <x:v>8</x:v>
      </x:c>
    </x:row>
    <x:row r="67">
      <x:c r="A67" s="2" t="n">
        <x:v>11</x:v>
      </x:c>
      <x:c r="B67" s="2" t="inlineStr">
        <x:is>
          <x:t xml:space="preserve">Budgy Smuggler</x:t>
        </x:is>
      </x:c>
      <x:c r="C67" s="2" t="inlineStr">
        <x:is>
          <x:t xml:space="preserve">Passionfruit Puree</x:t>
        </x:is>
      </x:c>
      <x:c r="D67" s="6" t="n">
        <x:v>0.5</x:v>
      </x:c>
      <x:c r="E67" s="2" t="inlineStr">
        <x:is>
          <x:t xml:space="preserve">oz</x:t>
        </x:is>
      </x:c>
      <x:c r="F67" s="7" t="n">
        <x:v>16</x:v>
      </x:c>
      <x:c r="G67" s="6" t="n">
        <x:v>8</x:v>
      </x:c>
    </x:row>
    <x:row r="68">
      <x:c r="A68" s="2" t="n">
        <x:v>11</x:v>
      </x:c>
      <x:c r="B68" s="2" t="inlineStr">
        <x:is>
          <x:t xml:space="preserve">Budgy Smuggler</x:t>
        </x:is>
      </x:c>
      <x:c r="C68" s="2" t="inlineStr">
        <x:is>
          <x:t xml:space="preserve">San Lucid Garden Amaro</x:t>
        </x:is>
      </x:c>
      <x:c r="D68" s="6" t="n">
        <x:v>0.5</x:v>
      </x:c>
      <x:c r="E68" s="2" t="inlineStr">
        <x:is>
          <x:t xml:space="preserve">oz</x:t>
        </x:is>
      </x:c>
      <x:c r="F68" s="7" t="n">
        <x:v>16</x:v>
      </x:c>
      <x:c r="G68" s="6" t="n">
        <x:v>8</x:v>
      </x:c>
    </x:row>
    <x:row r="69">
      <x:c r="A69" s="2" t="n">
        <x:v>11</x:v>
      </x:c>
      <x:c r="B69" s="2" t="inlineStr">
        <x:is>
          <x:t xml:space="preserve">Budgy Smuggler</x:t>
        </x:is>
      </x:c>
      <x:c r="C69" s="2" t="inlineStr">
        <x:is>
          <x:t xml:space="preserve">Spicy Rye Wine</x:t>
        </x:is>
      </x:c>
      <x:c r="D69" s="6" t="n">
        <x:v>0.5</x:v>
      </x:c>
      <x:c r="E69" s="2" t="inlineStr">
        <x:is>
          <x:t xml:space="preserve">oz</x:t>
        </x:is>
      </x:c>
      <x:c r="F69" s="7" t="n">
        <x:v>16</x:v>
      </x:c>
      <x:c r="G69" s="6" t="n">
        <x:v>8</x:v>
      </x:c>
    </x:row>
    <x:row r="70">
      <x:c r="A70" s="2" t="n">
        <x:v>11</x:v>
      </x:c>
      <x:c r="B70" s="2" t="inlineStr">
        <x:is>
          <x:t xml:space="preserve">Budgy Smuggler</x:t>
        </x:is>
      </x:c>
      <x:c r="C70" s="2" t="inlineStr">
        <x:is>
          <x:t xml:space="preserve">Lime Juice</x:t>
        </x:is>
      </x:c>
      <x:c r="D70" s="6" t="n">
        <x:v>0.75</x:v>
      </x:c>
      <x:c r="E70" s="2" t="inlineStr">
        <x:is>
          <x:t xml:space="preserve">oz</x:t>
        </x:is>
      </x:c>
      <x:c r="F70" s="7" t="n">
        <x:v>16</x:v>
      </x:c>
      <x:c r="G70" s="6" t="n">
        <x:v>12</x:v>
      </x:c>
    </x:row>
    <x:row r="71">
      <x:c r="A71" s="2" t="n">
        <x:v>11</x:v>
      </x:c>
      <x:c r="B71" s="2" t="inlineStr">
        <x:is>
          <x:t xml:space="preserve">Budgy Smuggler</x:t>
        </x:is>
      </x:c>
      <x:c r="C71" s="2" t="inlineStr">
        <x:is>
          <x:t xml:space="preserve">Milk</x:t>
        </x:is>
      </x:c>
      <x:c r="D71" s="6" t="n">
        <x:v>0.5</x:v>
      </x:c>
      <x:c r="E71" s="2" t="inlineStr">
        <x:is>
          <x:t xml:space="preserve">oz</x:t>
        </x:is>
      </x:c>
      <x:c r="F71" s="7" t="n">
        <x:v>16</x:v>
      </x:c>
      <x:c r="G71" s="6" t="n">
        <x:v>8</x:v>
      </x:c>
    </x:row>
    <x:row r="72">
      <x:c r="A72" s="2" t="n">
        <x:v>12</x:v>
      </x:c>
      <x:c r="B72" s="2" t="inlineStr">
        <x:is>
          <x:t xml:space="preserve">St. Louis Catholic</x:t>
        </x:is>
      </x:c>
      <x:c r="C72" s="2" t="inlineStr">
        <x:is>
          <x:t xml:space="preserve">Raicilla</x:t>
        </x:is>
      </x:c>
      <x:c r="D72" s="6" t="n">
        <x:v>1</x:v>
      </x:c>
      <x:c r="E72" s="2" t="inlineStr">
        <x:is>
          <x:t xml:space="preserve">oz</x:t>
        </x:is>
      </x:c>
      <x:c r="F72" s="7" t="n">
        <x:v>14</x:v>
      </x:c>
      <x:c r="G72" s="6" t="n">
        <x:v>14</x:v>
      </x:c>
    </x:row>
    <x:row r="73">
      <x:c r="A73" s="2" t="n">
        <x:v>12</x:v>
      </x:c>
      <x:c r="B73" s="2" t="inlineStr">
        <x:is>
          <x:t xml:space="preserve">St. Louis Catholic</x:t>
        </x:is>
      </x:c>
      <x:c r="C73" s="2" t="inlineStr">
        <x:is>
          <x:t xml:space="preserve">Mezcal</x:t>
        </x:is>
      </x:c>
      <x:c r="D73" s="6" t="n">
        <x:v>0.75</x:v>
      </x:c>
      <x:c r="E73" s="2" t="inlineStr">
        <x:is>
          <x:t xml:space="preserve">oz</x:t>
        </x:is>
      </x:c>
      <x:c r="F73" s="7" t="n">
        <x:v>14</x:v>
      </x:c>
      <x:c r="G73" s="6" t="n">
        <x:v>10.5</x:v>
      </x:c>
    </x:row>
    <x:row r="74">
      <x:c r="A74" s="2" t="n">
        <x:v>12</x:v>
      </x:c>
      <x:c r="B74" s="2" t="inlineStr">
        <x:is>
          <x:t xml:space="preserve">St. Louis Catholic</x:t>
        </x:is>
      </x:c>
      <x:c r="C74" s="2" t="inlineStr">
        <x:is>
          <x:t xml:space="preserve">Cynar</x:t>
        </x:is>
      </x:c>
      <x:c r="D74" s="6" t="n">
        <x:v>0.5</x:v>
      </x:c>
      <x:c r="E74" s="2" t="inlineStr">
        <x:is>
          <x:t xml:space="preserve">oz</x:t>
        </x:is>
      </x:c>
      <x:c r="F74" s="7" t="n">
        <x:v>14</x:v>
      </x:c>
      <x:c r="G74" s="6" t="n">
        <x:v>7</x:v>
      </x:c>
    </x:row>
    <x:row r="75">
      <x:c r="A75" s="2" t="n">
        <x:v>12</x:v>
      </x:c>
      <x:c r="B75" s="2" t="inlineStr">
        <x:is>
          <x:t xml:space="preserve">St. Louis Catholic</x:t>
        </x:is>
      </x:c>
      <x:c r="C75" s="2" t="inlineStr">
        <x:is>
          <x:t xml:space="preserve">Amaro (Generic)</x:t>
        </x:is>
      </x:c>
      <x:c r="D75" s="6" t="n">
        <x:v>0.25</x:v>
      </x:c>
      <x:c r="E75" s="2" t="inlineStr">
        <x:is>
          <x:t xml:space="preserve">oz</x:t>
        </x:is>
      </x:c>
      <x:c r="F75" s="7" t="n">
        <x:v>14</x:v>
      </x:c>
      <x:c r="G75" s="6" t="n">
        <x:v>3.5</x:v>
      </x:c>
    </x:row>
    <x:row r="76">
      <x:c r="A76" s="2" t="n">
        <x:v>12</x:v>
      </x:c>
      <x:c r="B76" s="2" t="inlineStr">
        <x:is>
          <x:t xml:space="preserve">St. Louis Catholic</x:t>
        </x:is>
      </x:c>
      <x:c r="C76" s="2" t="inlineStr">
        <x:is>
          <x:t xml:space="preserve">Rojo Vermouth</x:t>
        </x:is>
      </x:c>
      <x:c r="D76" s="6" t="n">
        <x:v>0.5</x:v>
      </x:c>
      <x:c r="E76" s="2" t="inlineStr">
        <x:is>
          <x:t xml:space="preserve">oz</x:t>
        </x:is>
      </x:c>
      <x:c r="F76" s="7" t="n">
        <x:v>14</x:v>
      </x:c>
      <x:c r="G76" s="6" t="n">
        <x:v>7</x:v>
      </x:c>
    </x:row>
    <x:row r="77">
      <x:c r="A77" s="2" t="n">
        <x:v>12</x:v>
      </x:c>
      <x:c r="B77" s="2" t="inlineStr">
        <x:is>
          <x:t xml:space="preserve">St. Louis Catholic</x:t>
        </x:is>
      </x:c>
      <x:c r="C77" s="2" t="inlineStr">
        <x:is>
          <x:t xml:space="preserve">Poblano Syrup</x:t>
        </x:is>
      </x:c>
      <x:c r="D77" s="6" t="n">
        <x:v>0.1</x:v>
      </x:c>
      <x:c r="E77" s="2" t="inlineStr">
        <x:is>
          <x:t xml:space="preserve">oz</x:t>
        </x:is>
      </x:c>
      <x:c r="F77" s="7" t="n">
        <x:v>14</x:v>
      </x:c>
      <x:c r="G77" s="6" t="n">
        <x:v>1.4</x:v>
      </x:c>
    </x:row>
    <x:row r="78">
      <x:c r="A78" s="2" t="n">
        <x:v>12</x:v>
      </x:c>
      <x:c r="B78" s="2" t="inlineStr">
        <x:is>
          <x:t xml:space="preserve">St. Louis Catholic</x:t>
        </x:is>
      </x:c>
      <x:c r="C78" s="2" t="inlineStr">
        <x:is>
          <x:t xml:space="preserve">Cachaca</x:t>
        </x:is>
      </x:c>
      <x:c r="D78" s="6" t="n">
        <x:v>0.25</x:v>
      </x:c>
      <x:c r="E78" s="2" t="inlineStr">
        <x:is>
          <x:t xml:space="preserve">oz</x:t>
        </x:is>
      </x:c>
      <x:c r="F78" s="7" t="n">
        <x:v>14</x:v>
      </x:c>
      <x:c r="G78" s="6" t="n">
        <x:v>3.5</x:v>
      </x:c>
    </x:row>
    <x:row r="79">
      <x:c r="A79" s="2" t="n">
        <x:v>12</x:v>
      </x:c>
      <x:c r="B79" s="2" t="inlineStr">
        <x:is>
          <x:t xml:space="preserve">St. Louis Catholic</x:t>
        </x:is>
      </x:c>
      <x:c r="C79" s="2" t="inlineStr">
        <x:is>
          <x:t xml:space="preserve">Salty Orange Bitters</x:t>
        </x:is>
      </x:c>
      <x:c r="D79" s="6" t="n">
        <x:v>0.04</x:v>
      </x:c>
      <x:c r="E79" s="2" t="inlineStr">
        <x:is>
          <x:t xml:space="preserve">oz</x:t>
        </x:is>
      </x:c>
      <x:c r="F79" s="7" t="n">
        <x:v>14</x:v>
      </x:c>
      <x:c r="G79" s="6" t="n">
        <x:v>0.5600000000000001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18" customWidth="1"/>
    <x:col min="3" max="3" width="10" customWidth="1"/>
    <x:col min="4" max="4" width="18" customWidth="1"/>
    <x:col min="5" max="5" width="16" customWidth="1"/>
    <x:col min="6" max="6" width="14" customWidth="1"/>
    <x:col min="7" max="7" width="18" customWidth="1"/>
    <x:col min="8" max="8" width="18" customWidth="1"/>
    <x:col min="9" max="9" width="12" customWidth="1"/>
    <x:col min="10" max="10" width="10" customWidth="1"/>
    <x:col min="11" max="11" width="18" customWidth="1"/>
    <x:col min="12" max="12" width="14" customWidth="1"/>
    <x:col min="13" max="13" width="16" customWidth="1"/>
    <x:col min="14" max="14" width="22" customWidth="1"/>
    <x:col min="15" max="15" width="16" customWidth="1"/>
    <x:col min="16" max="16" width="22" customWidth="1"/>
  </x:cols>
  <x:sheetData>
    <x:row r="1">
      <x:c r="A1" s="1" t="inlineStr">
        <x:is>
          <x:t xml:space="preserve">Ingredient</x:t>
        </x:is>
      </x:c>
      <x:c r="B1" s="1" t="inlineStr">
        <x:is>
          <x:t xml:space="preserve">Category</x:t>
        </x:is>
      </x:c>
      <x:c r="C1" s="1" t="inlineStr">
        <x:is>
          <x:t xml:space="preserve">Base Unit</x:t>
        </x:is>
      </x:c>
      <x:c r="D1" s="1" t="inlineStr">
        <x:is>
          <x:t xml:space="preserve">Package Size (base)</x:t>
        </x:is>
      </x:c>
      <x:c r="E1" s="1" t="inlineStr">
        <x:is>
          <x:t xml:space="preserve">Unit Cost ($/pkg)</x:t>
        </x:is>
      </x:c>
      <x:c r="F1" s="1" t="inlineStr">
        <x:is>
          <x:t xml:space="preserve">On Hand (pkgs)</x:t>
        </x:is>
      </x:c>
      <x:c r="G1" s="1" t="inlineStr">
        <x:is>
          <x:t xml:space="preserve">Total On Hand (base)</x:t>
        </x:is>
      </x:c>
      <x:c r="H1" s="1" t="inlineStr">
        <x:is>
          <x:t xml:space="preserve">Reorder Point (pkgs)</x:t>
        </x:is>
      </x:c>
      <x:c r="I1" s="1" t="inlineStr">
        <x:is>
          <x:t xml:space="preserve">Par (pkgs)</x:t>
        </x:is>
      </x:c>
      <x:c r="J1" s="1" t="inlineStr">
        <x:is>
          <x:t xml:space="preserve">Reorder?</x:t>
        </x:is>
      </x:c>
      <x:c r="K1" s="1" t="inlineStr">
        <x:is>
          <x:t xml:space="preserve">Weekly Usage (base)</x:t>
        </x:is>
      </x:c>
      <x:c r="L1" s="1" t="inlineStr">
        <x:is>
          <x:t xml:space="preserve">Days of Cover</x:t>
        </x:is>
      </x:c>
      <x:c r="M1" s="1" t="inlineStr">
        <x:is>
          <x:t xml:space="preserve">Inventory Value</x:t>
        </x:is>
      </x:c>
      <x:c r="N1" s="1" t="inlineStr">
        <x:is>
          <x:t xml:space="preserve">Suggested Reorder (pkgs)</x:t>
        </x:is>
      </x:c>
      <x:c r="O1" s="1" t="inlineStr">
        <x:is>
          <x:t xml:space="preserve">Est Reorder Cost</x:t>
        </x:is>
      </x:c>
      <x:c r="P1" s="1" t="inlineStr">
        <x:is>
          <x:t xml:space="preserve">Vendor</x:t>
        </x:is>
      </x:c>
    </x:row>
    <x:row r="2">
      <x:c r="A2" s="8" t="inlineStr">
        <x:is>
          <x:t xml:space="preserve">Mezcal</x:t>
        </x:is>
      </x:c>
      <x:c r="B2" s="8" t="inlineStr">
        <x:is>
          <x:t xml:space="preserve">Spirits</x:t>
        </x:is>
      </x:c>
      <x:c r="C2" s="2" t="inlineStr">
        <x:is>
          <x:t xml:space="preserve">oz</x:t>
        </x:is>
      </x:c>
      <x:c r="D2" s="6" t="n">
        <x:v>25.36</x:v>
      </x:c>
      <x:c r="E2" s="3" t="n">
        <x:v>32</x:v>
      </x:c>
      <x:c r="F2" s="6" t="n">
        <x:v>8</x:v>
      </x:c>
      <x:c r="G2" s="6">
        <x:f>D2*F2</x:f>
        <x:v>202.88</x:v>
      </x:c>
      <x:c r="H2" s="6" t="n">
        <x:v>3</x:v>
      </x:c>
      <x:c r="I2" s="6" t="n">
        <x:v>10</x:v>
      </x:c>
      <x:c r="J2" s="2">
        <x:f>IF(F2&lt;=H2,"YES","")</x:f>
      </x:c>
      <x:c r="K2" s="6" t="n">
        <x:v>165.5</x:v>
      </x:c>
      <x:c r="L2" s="9">
        <x:f>IF(K2=0,"-",G2/K2*7)</x:f>
        <x:v>8.581027190332327</x:v>
      </x:c>
      <x:c r="M2" s="3">
        <x:f>E2*F2</x:f>
        <x:v>256</x:v>
      </x:c>
      <x:c r="N2" s="6">
        <x:f>MAX(0,I2-F2)</x:f>
        <x:v>2</x:v>
      </x:c>
      <x:c r="O2" s="3">
        <x:f>N2*E2</x:f>
        <x:v>64</x:v>
      </x:c>
      <x:c r="P2" s="8" t="inlineStr">
        <x:is>
          <x:t xml:space="preserve">Southern Glazer's</x:t>
        </x:is>
      </x:c>
    </x:row>
    <x:row r="3">
      <x:c r="A3" s="8" t="inlineStr">
        <x:is>
          <x:t xml:space="preserve">Blanco Tequila</x:t>
        </x:is>
      </x:c>
      <x:c r="B3" s="8" t="inlineStr">
        <x:is>
          <x:t xml:space="preserve">Spirits</x:t>
        </x:is>
      </x:c>
      <x:c r="C3" s="2" t="inlineStr">
        <x:is>
          <x:t xml:space="preserve">oz</x:t>
        </x:is>
      </x:c>
      <x:c r="D3" s="6" t="n">
        <x:v>25.36</x:v>
      </x:c>
      <x:c r="E3" s="3" t="n">
        <x:v>28</x:v>
      </x:c>
      <x:c r="F3" s="6" t="n">
        <x:v>6</x:v>
      </x:c>
      <x:c r="G3" s="6">
        <x:f>D3*F3</x:f>
        <x:v>152.16</x:v>
      </x:c>
      <x:c r="H3" s="6" t="n">
        <x:v>2</x:v>
      </x:c>
      <x:c r="I3" s="6" t="n">
        <x:v>8</x:v>
      </x:c>
      <x:c r="J3" s="2">
        <x:f>IF(F3&lt;=H3,"YES","")</x:f>
      </x:c>
      <x:c r="K3" s="6" t="n">
        <x:v>30</x:v>
      </x:c>
      <x:c r="L3" s="9">
        <x:f>IF(K3=0,"-",G3/K3*7)</x:f>
        <x:v>35.504</x:v>
      </x:c>
      <x:c r="M3" s="3">
        <x:f>E3*F3</x:f>
        <x:v>168</x:v>
      </x:c>
      <x:c r="N3" s="6">
        <x:f>MAX(0,I3-F3)</x:f>
        <x:v>2</x:v>
      </x:c>
      <x:c r="O3" s="3">
        <x:f>N3*E3</x:f>
        <x:v>56</x:v>
      </x:c>
      <x:c r="P3" s="8" t="inlineStr">
        <x:is>
          <x:t xml:space="preserve">Southern Glazer's</x:t>
        </x:is>
      </x:c>
    </x:row>
    <x:row r="4">
      <x:c r="A4" s="8" t="inlineStr">
        <x:is>
          <x:t xml:space="preserve">Reposado Tequila</x:t>
        </x:is>
      </x:c>
      <x:c r="B4" s="8" t="inlineStr">
        <x:is>
          <x:t xml:space="preserve">Spirits</x:t>
        </x:is>
      </x:c>
      <x:c r="C4" s="2" t="inlineStr">
        <x:is>
          <x:t xml:space="preserve">oz</x:t>
        </x:is>
      </x:c>
      <x:c r="D4" s="6" t="n">
        <x:v>25.36</x:v>
      </x:c>
      <x:c r="E4" s="3" t="n">
        <x:v>32</x:v>
      </x:c>
      <x:c r="F4" s="6" t="n">
        <x:v>5</x:v>
      </x:c>
      <x:c r="G4" s="6">
        <x:f>D4*F4</x:f>
        <x:v>126.8</x:v>
      </x:c>
      <x:c r="H4" s="6" t="n">
        <x:v>2</x:v>
      </x:c>
      <x:c r="I4" s="6" t="n">
        <x:v>7</x:v>
      </x:c>
      <x:c r="J4" s="2">
        <x:f>IF(F4&lt;=H4,"YES","")</x:f>
      </x:c>
      <x:c r="K4" s="6" t="n">
        <x:v>37.5</x:v>
      </x:c>
      <x:c r="L4" s="9">
        <x:f>IF(K4=0,"-",G4/K4*7)</x:f>
        <x:v>23.66933333333333</x:v>
      </x:c>
      <x:c r="M4" s="3">
        <x:f>E4*F4</x:f>
        <x:v>160</x:v>
      </x:c>
      <x:c r="N4" s="6">
        <x:f>MAX(0,I4-F4)</x:f>
        <x:v>2</x:v>
      </x:c>
      <x:c r="O4" s="3">
        <x:f>N4*E4</x:f>
        <x:v>64</x:v>
      </x:c>
      <x:c r="P4" s="8" t="inlineStr">
        <x:is>
          <x:t xml:space="preserve">Southern Glazer's</x:t>
        </x:is>
      </x:c>
    </x:row>
    <x:row r="5">
      <x:c r="A5" s="8" t="inlineStr">
        <x:is>
          <x:t xml:space="preserve">Mexican Rum</x:t>
        </x:is>
      </x:c>
      <x:c r="B5" s="8" t="inlineStr">
        <x:is>
          <x:t xml:space="preserve">Spirits</x:t>
        </x:is>
      </x:c>
      <x:c r="C5" s="2" t="inlineStr">
        <x:is>
          <x:t xml:space="preserve">oz</x:t>
        </x:is>
      </x:c>
      <x:c r="D5" s="6" t="n">
        <x:v>25.36</x:v>
      </x:c>
      <x:c r="E5" s="3" t="n">
        <x:v>25</x:v>
      </x:c>
      <x:c r="F5" s="6" t="n">
        <x:v>4</x:v>
      </x:c>
      <x:c r="G5" s="6">
        <x:f>D5*F5</x:f>
        <x:v>101.44</x:v>
      </x:c>
      <x:c r="H5" s="6" t="n">
        <x:v>2</x:v>
      </x:c>
      <x:c r="I5" s="6" t="n">
        <x:v>6</x:v>
      </x:c>
      <x:c r="J5" s="2">
        <x:f>IF(F5&lt;=H5,"YES","")</x:f>
      </x:c>
      <x:c r="K5" s="6" t="n">
        <x:v>15</x:v>
      </x:c>
      <x:c r="L5" s="9">
        <x:f>IF(K5=0,"-",G5/K5*7)</x:f>
        <x:v>47.33866666666666</x:v>
      </x:c>
      <x:c r="M5" s="3">
        <x:f>E5*F5</x:f>
        <x:v>100</x:v>
      </x:c>
      <x:c r="N5" s="6">
        <x:f>MAX(0,I5-F5)</x:f>
        <x:v>2</x:v>
      </x:c>
      <x:c r="O5" s="3">
        <x:f>N5*E5</x:f>
        <x:v>50</x:v>
      </x:c>
      <x:c r="P5" s="8" t="inlineStr">
        <x:is>
          <x:t xml:space="preserve">Breakthru Beverage</x:t>
        </x:is>
      </x:c>
    </x:row>
    <x:row r="6">
      <x:c r="A6" s="8" t="inlineStr">
        <x:is>
          <x:t xml:space="preserve">French Rhum</x:t>
        </x:is>
      </x:c>
      <x:c r="B6" s="8" t="inlineStr">
        <x:is>
          <x:t xml:space="preserve">Spirits</x:t>
        </x:is>
      </x:c>
      <x:c r="C6" s="2" t="inlineStr">
        <x:is>
          <x:t xml:space="preserve">oz</x:t>
        </x:is>
      </x:c>
      <x:c r="D6" s="6" t="n">
        <x:v>25.36</x:v>
      </x:c>
      <x:c r="E6" s="3" t="n">
        <x:v>29</x:v>
      </x:c>
      <x:c r="F6" s="6" t="n">
        <x:v>3</x:v>
      </x:c>
      <x:c r="G6" s="6">
        <x:f>D6*F6</x:f>
        <x:v>76.08</x:v>
      </x:c>
      <x:c r="H6" s="6" t="n">
        <x:v>1</x:v>
      </x:c>
      <x:c r="I6" s="6" t="n">
        <x:v>5</x:v>
      </x:c>
      <x:c r="J6" s="2">
        <x:f>IF(F6&lt;=H6,"YES","")</x:f>
      </x:c>
      <x:c r="K6" s="6" t="n">
        <x:v>10</x:v>
      </x:c>
      <x:c r="L6" s="9">
        <x:f>IF(K6=0,"-",G6/K6*7)</x:f>
        <x:v>53.256</x:v>
      </x:c>
      <x:c r="M6" s="3">
        <x:f>E6*F6</x:f>
        <x:v>87</x:v>
      </x:c>
      <x:c r="N6" s="6">
        <x:f>MAX(0,I6-F6)</x:f>
        <x:v>2</x:v>
      </x:c>
      <x:c r="O6" s="3">
        <x:f>N6*E6</x:f>
        <x:v>58</x:v>
      </x:c>
      <x:c r="P6" s="8" t="inlineStr">
        <x:is>
          <x:t xml:space="preserve">Breakthru Beverage</x:t>
        </x:is>
      </x:c>
    </x:row>
    <x:row r="7">
      <x:c r="A7" s="8" t="inlineStr">
        <x:is>
          <x:t xml:space="preserve">Haitian Rhum</x:t>
        </x:is>
      </x:c>
      <x:c r="B7" s="8" t="inlineStr">
        <x:is>
          <x:t xml:space="preserve">Spirits</x:t>
        </x:is>
      </x:c>
      <x:c r="C7" s="2" t="inlineStr">
        <x:is>
          <x:t xml:space="preserve">oz</x:t>
        </x:is>
      </x:c>
      <x:c r="D7" s="6" t="n">
        <x:v>25.36</x:v>
      </x:c>
      <x:c r="E7" s="3" t="n">
        <x:v>27</x:v>
      </x:c>
      <x:c r="F7" s="6" t="n">
        <x:v>3</x:v>
      </x:c>
      <x:c r="G7" s="6">
        <x:f>D7*F7</x:f>
        <x:v>76.08</x:v>
      </x:c>
      <x:c r="H7" s="6" t="n">
        <x:v>1</x:v>
      </x:c>
      <x:c r="I7" s="6" t="n">
        <x:v>5</x:v>
      </x:c>
      <x:c r="J7" s="2">
        <x:f>IF(F7&lt;=H7,"YES","")</x:f>
      </x:c>
      <x:c r="K7" s="6" t="n">
        <x:v>14</x:v>
      </x:c>
      <x:c r="L7" s="9">
        <x:f>IF(K7=0,"-",G7/K7*7)</x:f>
        <x:v>38.04</x:v>
      </x:c>
      <x:c r="M7" s="3">
        <x:f>E7*F7</x:f>
        <x:v>81</x:v>
      </x:c>
      <x:c r="N7" s="6">
        <x:f>MAX(0,I7-F7)</x:f>
        <x:v>2</x:v>
      </x:c>
      <x:c r="O7" s="3">
        <x:f>N7*E7</x:f>
        <x:v>54</x:v>
      </x:c>
      <x:c r="P7" s="8" t="inlineStr">
        <x:is>
          <x:t xml:space="preserve">Breakthru Beverage</x:t>
        </x:is>
      </x:c>
    </x:row>
    <x:row r="8">
      <x:c r="A8" s="8" t="inlineStr">
        <x:is>
          <x:t xml:space="preserve">Aged Mexican Rum</x:t>
        </x:is>
      </x:c>
      <x:c r="B8" s="8" t="inlineStr">
        <x:is>
          <x:t xml:space="preserve">Spirits</x:t>
        </x:is>
      </x:c>
      <x:c r="C8" s="2" t="inlineStr">
        <x:is>
          <x:t xml:space="preserve">oz</x:t>
        </x:is>
      </x:c>
      <x:c r="D8" s="6" t="n">
        <x:v>25.36</x:v>
      </x:c>
      <x:c r="E8" s="3" t="n">
        <x:v>30</x:v>
      </x:c>
      <x:c r="F8" s="6" t="n">
        <x:v>2</x:v>
      </x:c>
      <x:c r="G8" s="6">
        <x:f>D8*F8</x:f>
        <x:v>50.72</x:v>
      </x:c>
      <x:c r="H8" s="6" t="n">
        <x:v>1</x:v>
      </x:c>
      <x:c r="I8" s="6" t="n">
        <x:v>4</x:v>
      </x:c>
      <x:c r="J8" s="2">
        <x:f>IF(F8&lt;=H8,"YES","")</x:f>
      </x:c>
      <x:c r="K8" s="6" t="n">
        <x:v>4.5</x:v>
      </x:c>
      <x:c r="L8" s="9">
        <x:f>IF(K8=0,"-",G8/K8*7)</x:f>
        <x:v>78.89777777777778</x:v>
      </x:c>
      <x:c r="M8" s="3">
        <x:f>E8*F8</x:f>
        <x:v>60</x:v>
      </x:c>
      <x:c r="N8" s="6">
        <x:f>MAX(0,I8-F8)</x:f>
        <x:v>2</x:v>
      </x:c>
      <x:c r="O8" s="3">
        <x:f>N8*E8</x:f>
        <x:v>60</x:v>
      </x:c>
      <x:c r="P8" s="8" t="inlineStr">
        <x:is>
          <x:t xml:space="preserve">Breakthru Beverage</x:t>
        </x:is>
      </x:c>
    </x:row>
    <x:row r="9">
      <x:c r="A9" s="8" t="inlineStr">
        <x:is>
          <x:t xml:space="preserve">Smith &amp; Cross Jamaican Rum</x:t>
        </x:is>
      </x:c>
      <x:c r="B9" s="8" t="inlineStr">
        <x:is>
          <x:t xml:space="preserve">Spirits</x:t>
        </x:is>
      </x:c>
      <x:c r="C9" s="2" t="inlineStr">
        <x:is>
          <x:t xml:space="preserve">oz</x:t>
        </x:is>
      </x:c>
      <x:c r="D9" s="6" t="n">
        <x:v>25.36</x:v>
      </x:c>
      <x:c r="E9" s="3" t="n">
        <x:v>33</x:v>
      </x:c>
      <x:c r="F9" s="6" t="n">
        <x:v>3</x:v>
      </x:c>
      <x:c r="G9" s="6">
        <x:f>D9*F9</x:f>
        <x:v>76.08</x:v>
      </x:c>
      <x:c r="H9" s="6" t="n">
        <x:v>1</x:v>
      </x:c>
      <x:c r="I9" s="6" t="n">
        <x:v>5</x:v>
      </x:c>
      <x:c r="J9" s="2">
        <x:f>IF(F9&lt;=H9,"YES","")</x:f>
      </x:c>
      <x:c r="K9" s="6" t="n">
        <x:v>33</x:v>
      </x:c>
      <x:c r="L9" s="9">
        <x:f>IF(K9=0,"-",G9/K9*7)</x:f>
        <x:v>16.138181818181817</x:v>
      </x:c>
      <x:c r="M9" s="3">
        <x:f>E9*F9</x:f>
        <x:v>99</x:v>
      </x:c>
      <x:c r="N9" s="6">
        <x:f>MAX(0,I9-F9)</x:f>
        <x:v>2</x:v>
      </x:c>
      <x:c r="O9" s="3">
        <x:f>N9*E9</x:f>
        <x:v>66</x:v>
      </x:c>
      <x:c r="P9" s="8" t="inlineStr">
        <x:is>
          <x:t xml:space="preserve">Breakthru Beverage</x:t>
        </x:is>
      </x:c>
    </x:row>
    <x:row r="10">
      <x:c r="A10" s="8" t="inlineStr">
        <x:is>
          <x:t xml:space="preserve">Bombay Gin</x:t>
        </x:is>
      </x:c>
      <x:c r="B10" s="8" t="inlineStr">
        <x:is>
          <x:t xml:space="preserve">Spirits</x:t>
        </x:is>
      </x:c>
      <x:c r="C10" s="2" t="inlineStr">
        <x:is>
          <x:t xml:space="preserve">oz</x:t>
        </x:is>
      </x:c>
      <x:c r="D10" s="6" t="n">
        <x:v>25.36</x:v>
      </x:c>
      <x:c r="E10" s="3" t="n">
        <x:v>22</x:v>
      </x:c>
      <x:c r="F10" s="6" t="n">
        <x:v>3</x:v>
      </x:c>
      <x:c r="G10" s="6">
        <x:f>D10*F10</x:f>
        <x:v>76.08</x:v>
      </x:c>
      <x:c r="H10" s="6" t="n">
        <x:v>1</x:v>
      </x:c>
      <x:c r="I10" s="6" t="n">
        <x:v>5</x:v>
      </x:c>
      <x:c r="J10" s="2">
        <x:f>IF(F10&lt;=H10,"YES","")</x:f>
      </x:c>
      <x:c r="K10" s="6" t="n">
        <x:v>18</x:v>
      </x:c>
      <x:c r="L10" s="9">
        <x:f>IF(K10=0,"-",G10/K10*7)</x:f>
        <x:v>29.586666666666666</x:v>
      </x:c>
      <x:c r="M10" s="3">
        <x:f>E10*F10</x:f>
        <x:v>66</x:v>
      </x:c>
      <x:c r="N10" s="6">
        <x:f>MAX(0,I10-F10)</x:f>
        <x:v>2</x:v>
      </x:c>
      <x:c r="O10" s="3">
        <x:f>N10*E10</x:f>
        <x:v>44</x:v>
      </x:c>
      <x:c r="P10" s="8" t="inlineStr">
        <x:is>
          <x:t xml:space="preserve">Southern Glazer's</x:t>
        </x:is>
      </x:c>
    </x:row>
    <x:row r="11">
      <x:c r="A11" s="8" t="inlineStr">
        <x:is>
          <x:t xml:space="preserve">Rieger Gin</x:t>
        </x:is>
      </x:c>
      <x:c r="B11" s="8" t="inlineStr">
        <x:is>
          <x:t xml:space="preserve">Spirits</x:t>
        </x:is>
      </x:c>
      <x:c r="C11" s="2" t="inlineStr">
        <x:is>
          <x:t xml:space="preserve">oz</x:t>
        </x:is>
      </x:c>
      <x:c r="D11" s="6" t="n">
        <x:v>25.36</x:v>
      </x:c>
      <x:c r="E11" s="3" t="n">
        <x:v>24</x:v>
      </x:c>
      <x:c r="F11" s="6" t="n">
        <x:v>5</x:v>
      </x:c>
      <x:c r="G11" s="6">
        <x:f>D11*F11</x:f>
        <x:v>126.8</x:v>
      </x:c>
      <x:c r="H11" s="6" t="n">
        <x:v>2</x:v>
      </x:c>
      <x:c r="I11" s="6" t="n">
        <x:v>7</x:v>
      </x:c>
      <x:c r="J11" s="2">
        <x:f>IF(F11&lt;=H11,"YES","")</x:f>
      </x:c>
      <x:c r="K11" s="6" t="n">
        <x:v>64.5</x:v>
      </x:c>
      <x:c r="L11" s="9">
        <x:f>IF(K11=0,"-",G11/K11*7)</x:f>
        <x:v>13.76124031007752</x:v>
      </x:c>
      <x:c r="M11" s="3">
        <x:f>E11*F11</x:f>
        <x:v>120</x:v>
      </x:c>
      <x:c r="N11" s="6">
        <x:f>MAX(0,I11-F11)</x:f>
        <x:v>2</x:v>
      </x:c>
      <x:c r="O11" s="3">
        <x:f>N11*E11</x:f>
        <x:v>48</x:v>
      </x:c>
      <x:c r="P11" s="8" t="inlineStr">
        <x:is>
          <x:t xml:space="preserve">Local Spirits Co.</x:t>
        </x:is>
      </x:c>
    </x:row>
    <x:row r="12">
      <x:c r="A12" s="8" t="inlineStr">
        <x:is>
          <x:t xml:space="preserve">London Dry Gin</x:t>
        </x:is>
      </x:c>
      <x:c r="B12" s="8" t="inlineStr">
        <x:is>
          <x:t xml:space="preserve">Spirits</x:t>
        </x:is>
      </x:c>
      <x:c r="C12" s="2" t="inlineStr">
        <x:is>
          <x:t xml:space="preserve">oz</x:t>
        </x:is>
      </x:c>
      <x:c r="D12" s="6" t="n">
        <x:v>25.36</x:v>
      </x:c>
      <x:c r="E12" s="3" t="n">
        <x:v>23</x:v>
      </x:c>
      <x:c r="F12" s="6" t="n">
        <x:v>3</x:v>
      </x:c>
      <x:c r="G12" s="6">
        <x:f>D12*F12</x:f>
        <x:v>76.08</x:v>
      </x:c>
      <x:c r="H12" s="6" t="n">
        <x:v>1</x:v>
      </x:c>
      <x:c r="I12" s="6" t="n">
        <x:v>5</x:v>
      </x:c>
      <x:c r="J12" s="2">
        <x:f>IF(F12&lt;=H12,"YES","")</x:f>
      </x:c>
      <x:c r="K12" s="6" t="n">
        <x:v>24</x:v>
      </x:c>
      <x:c r="L12" s="9">
        <x:f>IF(K12=0,"-",G12/K12*7)</x:f>
        <x:v>22.189999999999998</x:v>
      </x:c>
      <x:c r="M12" s="3">
        <x:f>E12*F12</x:f>
        <x:v>69</x:v>
      </x:c>
      <x:c r="N12" s="6">
        <x:f>MAX(0,I12-F12)</x:f>
        <x:v>2</x:v>
      </x:c>
      <x:c r="O12" s="3">
        <x:f>N12*E12</x:f>
        <x:v>46</x:v>
      </x:c>
      <x:c r="P12" s="8" t="inlineStr">
        <x:is>
          <x:t xml:space="preserve">Southern Glazer's</x:t>
        </x:is>
      </x:c>
    </x:row>
    <x:row r="13">
      <x:c r="A13" s="8" t="inlineStr">
        <x:is>
          <x:t xml:space="preserve">Bourbon</x:t>
        </x:is>
      </x:c>
      <x:c r="B13" s="8" t="inlineStr">
        <x:is>
          <x:t xml:space="preserve">Spirits</x:t>
        </x:is>
      </x:c>
      <x:c r="C13" s="2" t="inlineStr">
        <x:is>
          <x:t xml:space="preserve">oz</x:t>
        </x:is>
      </x:c>
      <x:c r="D13" s="6" t="n">
        <x:v>25.36</x:v>
      </x:c>
      <x:c r="E13" s="3" t="n">
        <x:v>26</x:v>
      </x:c>
      <x:c r="F13" s="6" t="n">
        <x:v>4</x:v>
      </x:c>
      <x:c r="G13" s="6">
        <x:f>D13*F13</x:f>
        <x:v>101.44</x:v>
      </x:c>
      <x:c r="H13" s="6" t="n">
        <x:v>2</x:v>
      </x:c>
      <x:c r="I13" s="6" t="n">
        <x:v>6</x:v>
      </x:c>
      <x:c r="J13" s="2">
        <x:f>IF(F13&lt;=H13,"YES","")</x:f>
      </x:c>
      <x:c r="K13" s="6" t="n">
        <x:v>35</x:v>
      </x:c>
      <x:c r="L13" s="9">
        <x:f>IF(K13=0,"-",G13/K13*7)</x:f>
        <x:v>20.288</x:v>
      </x:c>
      <x:c r="M13" s="3">
        <x:f>E13*F13</x:f>
        <x:v>104</x:v>
      </x:c>
      <x:c r="N13" s="6">
        <x:f>MAX(0,I13-F13)</x:f>
        <x:v>2</x:v>
      </x:c>
      <x:c r="O13" s="3">
        <x:f>N13*E13</x:f>
        <x:v>52</x:v>
      </x:c>
      <x:c r="P13" s="8" t="inlineStr">
        <x:is>
          <x:t xml:space="preserve">Southern Glazer's</x:t>
        </x:is>
      </x:c>
    </x:row>
    <x:row r="14">
      <x:c r="A14" s="8" t="inlineStr">
        <x:is>
          <x:t xml:space="preserve">High West Double Rye</x:t>
        </x:is>
      </x:c>
      <x:c r="B14" s="8" t="inlineStr">
        <x:is>
          <x:t xml:space="preserve">Spirits</x:t>
        </x:is>
      </x:c>
      <x:c r="C14" s="2" t="inlineStr">
        <x:is>
          <x:t xml:space="preserve">oz</x:t>
        </x:is>
      </x:c>
      <x:c r="D14" s="6" t="n">
        <x:v>25.36</x:v>
      </x:c>
      <x:c r="E14" s="3" t="n">
        <x:v>38</x:v>
      </x:c>
      <x:c r="F14" s="6" t="n">
        <x:v>3</x:v>
      </x:c>
      <x:c r="G14" s="6">
        <x:f>D14*F14</x:f>
        <x:v>76.08</x:v>
      </x:c>
      <x:c r="H14" s="6" t="n">
        <x:v>1</x:v>
      </x:c>
      <x:c r="I14" s="6" t="n">
        <x:v>4</x:v>
      </x:c>
      <x:c r="J14" s="2">
        <x:f>IF(F14&lt;=H14,"YES","")</x:f>
      </x:c>
      <x:c r="K14" s="6" t="n">
        <x:v>36</x:v>
      </x:c>
      <x:c r="L14" s="9">
        <x:f>IF(K14=0,"-",G14/K14*7)</x:f>
        <x:v>14.793333333333333</x:v>
      </x:c>
      <x:c r="M14" s="3">
        <x:f>E14*F14</x:f>
        <x:v>114</x:v>
      </x:c>
      <x:c r="N14" s="6">
        <x:f>MAX(0,I14-F14)</x:f>
        <x:v>1</x:v>
      </x:c>
      <x:c r="O14" s="3">
        <x:f>N14*E14</x:f>
        <x:v>38</x:v>
      </x:c>
      <x:c r="P14" s="8" t="inlineStr">
        <x:is>
          <x:t xml:space="preserve">Southern Glazer's</x:t>
        </x:is>
      </x:c>
    </x:row>
    <x:row r="15">
      <x:c r="A15" s="8" t="inlineStr">
        <x:is>
          <x:t xml:space="preserve">Raicilla</x:t>
        </x:is>
      </x:c>
      <x:c r="B15" s="8" t="inlineStr">
        <x:is>
          <x:t xml:space="preserve">Spirits</x:t>
        </x:is>
      </x:c>
      <x:c r="C15" s="2" t="inlineStr">
        <x:is>
          <x:t xml:space="preserve">oz</x:t>
        </x:is>
      </x:c>
      <x:c r="D15" s="6" t="n">
        <x:v>25.36</x:v>
      </x:c>
      <x:c r="E15" s="3" t="n">
        <x:v>45</x:v>
      </x:c>
      <x:c r="F15" s="6" t="n">
        <x:v>2</x:v>
      </x:c>
      <x:c r="G15" s="6">
        <x:f>D15*F15</x:f>
        <x:v>50.72</x:v>
      </x:c>
      <x:c r="H15" s="6" t="n">
        <x:v>1</x:v>
      </x:c>
      <x:c r="I15" s="6" t="n">
        <x:v>3</x:v>
      </x:c>
      <x:c r="J15" s="2">
        <x:f>IF(F15&lt;=H15,"YES","")</x:f>
      </x:c>
      <x:c r="K15" s="6" t="n">
        <x:v>14</x:v>
      </x:c>
      <x:c r="L15" s="9">
        <x:f>IF(K15=0,"-",G15/K15*7)</x:f>
        <x:v>25.36</x:v>
      </x:c>
      <x:c r="M15" s="3">
        <x:f>E15*F15</x:f>
        <x:v>90</x:v>
      </x:c>
      <x:c r="N15" s="6">
        <x:f>MAX(0,I15-F15)</x:f>
        <x:v>1</x:v>
      </x:c>
      <x:c r="O15" s="3">
        <x:f>N15*E15</x:f>
        <x:v>45</x:v>
      </x:c>
      <x:c r="P15" s="8" t="inlineStr">
        <x:is>
          <x:t xml:space="preserve">Specialty Importer</x:t>
        </x:is>
      </x:c>
    </x:row>
    <x:row r="16">
      <x:c r="A16" s="8" t="inlineStr">
        <x:is>
          <x:t xml:space="preserve">Cachaca</x:t>
        </x:is>
      </x:c>
      <x:c r="B16" s="8" t="inlineStr">
        <x:is>
          <x:t xml:space="preserve">Spirits</x:t>
        </x:is>
      </x:c>
      <x:c r="C16" s="2" t="inlineStr">
        <x:is>
          <x:t xml:space="preserve">oz</x:t>
        </x:is>
      </x:c>
      <x:c r="D16" s="6" t="n">
        <x:v>25.36</x:v>
      </x:c>
      <x:c r="E16" s="3" t="n">
        <x:v>24</x:v>
      </x:c>
      <x:c r="F16" s="6" t="n">
        <x:v>2</x:v>
      </x:c>
      <x:c r="G16" s="6">
        <x:f>D16*F16</x:f>
        <x:v>50.72</x:v>
      </x:c>
      <x:c r="H16" s="6" t="n">
        <x:v>1</x:v>
      </x:c>
      <x:c r="I16" s="6" t="n">
        <x:v>3</x:v>
      </x:c>
      <x:c r="J16" s="2">
        <x:f>IF(F16&lt;=H16,"YES","")</x:f>
      </x:c>
      <x:c r="K16" s="6" t="n">
        <x:v>3.5</x:v>
      </x:c>
      <x:c r="L16" s="9">
        <x:f>IF(K16=0,"-",G16/K16*7)</x:f>
        <x:v>101.44</x:v>
      </x:c>
      <x:c r="M16" s="3">
        <x:f>E16*F16</x:f>
        <x:v>48</x:v>
      </x:c>
      <x:c r="N16" s="6">
        <x:f>MAX(0,I16-F16)</x:f>
        <x:v>1</x:v>
      </x:c>
      <x:c r="O16" s="3">
        <x:f>N16*E16</x:f>
        <x:v>24</x:v>
      </x:c>
      <x:c r="P16" s="8" t="inlineStr">
        <x:is>
          <x:t xml:space="preserve">Breakthru Beverage</x:t>
        </x:is>
      </x:c>
    </x:row>
    <x:row r="17">
      <x:c r="A17" s="8" t="inlineStr">
        <x:is>
          <x:t xml:space="preserve">Sherry</x:t>
        </x:is>
      </x:c>
      <x:c r="B17" s="8" t="inlineStr">
        <x:is>
          <x:t xml:space="preserve">Fortified Wine</x:t>
        </x:is>
      </x:c>
      <x:c r="C17" s="2" t="inlineStr">
        <x:is>
          <x:t xml:space="preserve">oz</x:t>
        </x:is>
      </x:c>
      <x:c r="D17" s="6" t="n">
        <x:v>25.36</x:v>
      </x:c>
      <x:c r="E17" s="3" t="n">
        <x:v>18</x:v>
      </x:c>
      <x:c r="F17" s="6" t="n">
        <x:v>3</x:v>
      </x:c>
      <x:c r="G17" s="6">
        <x:f>D17*F17</x:f>
        <x:v>76.08</x:v>
      </x:c>
      <x:c r="H17" s="6" t="n">
        <x:v>1</x:v>
      </x:c>
      <x:c r="I17" s="6" t="n">
        <x:v>4</x:v>
      </x:c>
      <x:c r="J17" s="2">
        <x:f>IF(F17&lt;=H17,"YES","")</x:f>
      </x:c>
      <x:c r="K17" s="6" t="n">
        <x:v>15</x:v>
      </x:c>
      <x:c r="L17" s="9">
        <x:f>IF(K17=0,"-",G17/K17*7)</x:f>
        <x:v>35.504</x:v>
      </x:c>
      <x:c r="M17" s="3">
        <x:f>E17*F17</x:f>
        <x:v>54</x:v>
      </x:c>
      <x:c r="N17" s="6">
        <x:f>MAX(0,I17-F17)</x:f>
        <x:v>1</x:v>
      </x:c>
      <x:c r="O17" s="3">
        <x:f>N17*E17</x:f>
        <x:v>18</x:v>
      </x:c>
      <x:c r="P17" s="8" t="inlineStr">
        <x:is>
          <x:t xml:space="preserve">Wine Vendor</x:t>
        </x:is>
      </x:c>
    </x:row>
    <x:row r="18">
      <x:c r="A18" s="8" t="inlineStr">
        <x:is>
          <x:t xml:space="preserve">Rainwater Madeira</x:t>
        </x:is>
      </x:c>
      <x:c r="B18" s="8" t="inlineStr">
        <x:is>
          <x:t xml:space="preserve">Fortified Wine</x:t>
        </x:is>
      </x:c>
      <x:c r="C18" s="2" t="inlineStr">
        <x:is>
          <x:t xml:space="preserve">oz</x:t>
        </x:is>
      </x:c>
      <x:c r="D18" s="6" t="n">
        <x:v>25.36</x:v>
      </x:c>
      <x:c r="E18" s="3" t="n">
        <x:v>20</x:v>
      </x:c>
      <x:c r="F18" s="6" t="n">
        <x:v>2</x:v>
      </x:c>
      <x:c r="G18" s="6">
        <x:f>D18*F18</x:f>
        <x:v>50.72</x:v>
      </x:c>
      <x:c r="H18" s="6" t="n">
        <x:v>1</x:v>
      </x:c>
      <x:c r="I18" s="6" t="n">
        <x:v>3</x:v>
      </x:c>
      <x:c r="J18" s="2">
        <x:f>IF(F18&lt;=H18,"YES","")</x:f>
      </x:c>
      <x:c r="K18" s="6" t="n">
        <x:v>11</x:v>
      </x:c>
      <x:c r="L18" s="9">
        <x:f>IF(K18=0,"-",G18/K18*7)</x:f>
        <x:v>32.276363636363634</x:v>
      </x:c>
      <x:c r="M18" s="3">
        <x:f>E18*F18</x:f>
        <x:v>40</x:v>
      </x:c>
      <x:c r="N18" s="6">
        <x:f>MAX(0,I18-F18)</x:f>
        <x:v>1</x:v>
      </x:c>
      <x:c r="O18" s="3">
        <x:f>N18*E18</x:f>
        <x:v>20</x:v>
      </x:c>
      <x:c r="P18" s="8" t="inlineStr">
        <x:is>
          <x:t xml:space="preserve">Wine Vendor</x:t>
        </x:is>
      </x:c>
    </x:row>
    <x:row r="19">
      <x:c r="A19" s="8" t="inlineStr">
        <x:is>
          <x:t xml:space="preserve">Spanish Blanc Vermouth</x:t>
        </x:is>
      </x:c>
      <x:c r="B19" s="8" t="inlineStr">
        <x:is>
          <x:t xml:space="preserve">Vermouth</x:t>
        </x:is>
      </x:c>
      <x:c r="C19" s="2" t="inlineStr">
        <x:is>
          <x:t xml:space="preserve">oz</x:t>
        </x:is>
      </x:c>
      <x:c r="D19" s="6" t="n">
        <x:v>25.36</x:v>
      </x:c>
      <x:c r="E19" s="3" t="n">
        <x:v>16</x:v>
      </x:c>
      <x:c r="F19" s="6" t="n">
        <x:v>2</x:v>
      </x:c>
      <x:c r="G19" s="6">
        <x:f>D19*F19</x:f>
        <x:v>50.72</x:v>
      </x:c>
      <x:c r="H19" s="6" t="n">
        <x:v>1</x:v>
      </x:c>
      <x:c r="I19" s="6" t="n">
        <x:v>3</x:v>
      </x:c>
      <x:c r="J19" s="2">
        <x:f>IF(F19&lt;=H19,"YES","")</x:f>
      </x:c>
      <x:c r="K19" s="6" t="n">
        <x:v>13.5</x:v>
      </x:c>
      <x:c r="L19" s="9">
        <x:f>IF(K19=0,"-",G19/K19*7)</x:f>
        <x:v>26.29925925925926</x:v>
      </x:c>
      <x:c r="M19" s="3">
        <x:f>E19*F19</x:f>
        <x:v>32</x:v>
      </x:c>
      <x:c r="N19" s="6">
        <x:f>MAX(0,I19-F19)</x:f>
        <x:v>1</x:v>
      </x:c>
      <x:c r="O19" s="3">
        <x:f>N19*E19</x:f>
        <x:v>16</x:v>
      </x:c>
      <x:c r="P19" s="8" t="inlineStr">
        <x:is>
          <x:t xml:space="preserve">Wine Vendor</x:t>
        </x:is>
      </x:c>
    </x:row>
    <x:row r="20">
      <x:c r="A20" s="8" t="inlineStr">
        <x:is>
          <x:t xml:space="preserve">Dry Vermouth</x:t>
        </x:is>
      </x:c>
      <x:c r="B20" s="8" t="inlineStr">
        <x:is>
          <x:t xml:space="preserve">Vermouth</x:t>
        </x:is>
      </x:c>
      <x:c r="C20" s="2" t="inlineStr">
        <x:is>
          <x:t xml:space="preserve">oz</x:t>
        </x:is>
      </x:c>
      <x:c r="D20" s="6" t="n">
        <x:v>25.36</x:v>
      </x:c>
      <x:c r="E20" s="3" t="n">
        <x:v>14</x:v>
      </x:c>
      <x:c r="F20" s="6" t="n">
        <x:v>2</x:v>
      </x:c>
      <x:c r="G20" s="6">
        <x:f>D20*F20</x:f>
        <x:v>50.72</x:v>
      </x:c>
      <x:c r="H20" s="6" t="n">
        <x:v>1</x:v>
      </x:c>
      <x:c r="I20" s="6" t="n">
        <x:v>3</x:v>
      </x:c>
      <x:c r="J20" s="2">
        <x:f>IF(F20&lt;=H20,"YES","")</x:f>
      </x:c>
      <x:c r="K20" s="6" t="n">
        <x:v>7.5</x:v>
      </x:c>
      <x:c r="L20" s="9">
        <x:f>IF(K20=0,"-",G20/K20*7)</x:f>
        <x:v>47.33866666666666</x:v>
      </x:c>
      <x:c r="M20" s="3">
        <x:f>E20*F20</x:f>
        <x:v>28</x:v>
      </x:c>
      <x:c r="N20" s="6">
        <x:f>MAX(0,I20-F20)</x:f>
        <x:v>1</x:v>
      </x:c>
      <x:c r="O20" s="3">
        <x:f>N20*E20</x:f>
        <x:v>14</x:v>
      </x:c>
      <x:c r="P20" s="8" t="inlineStr">
        <x:is>
          <x:t xml:space="preserve">Wine Vendor</x:t>
        </x:is>
      </x:c>
    </x:row>
    <x:row r="21">
      <x:c r="A21" s="8" t="inlineStr">
        <x:is>
          <x:t xml:space="preserve">Rojo Vermouth</x:t>
        </x:is>
      </x:c>
      <x:c r="B21" s="8" t="inlineStr">
        <x:is>
          <x:t xml:space="preserve">Vermouth</x:t>
        </x:is>
      </x:c>
      <x:c r="C21" s="2" t="inlineStr">
        <x:is>
          <x:t xml:space="preserve">oz</x:t>
        </x:is>
      </x:c>
      <x:c r="D21" s="6" t="n">
        <x:v>25.36</x:v>
      </x:c>
      <x:c r="E21" s="3" t="n">
        <x:v>16</x:v>
      </x:c>
      <x:c r="F21" s="6" t="n">
        <x:v>2</x:v>
      </x:c>
      <x:c r="G21" s="6">
        <x:f>D21*F21</x:f>
        <x:v>50.72</x:v>
      </x:c>
      <x:c r="H21" s="6" t="n">
        <x:v>1</x:v>
      </x:c>
      <x:c r="I21" s="6" t="n">
        <x:v>3</x:v>
      </x:c>
      <x:c r="J21" s="2">
        <x:f>IF(F21&lt;=H21,"YES","")</x:f>
      </x:c>
      <x:c r="K21" s="6" t="n">
        <x:v>7</x:v>
      </x:c>
      <x:c r="L21" s="9">
        <x:f>IF(K21=0,"-",G21/K21*7)</x:f>
        <x:v>50.72</x:v>
      </x:c>
      <x:c r="M21" s="3">
        <x:f>E21*F21</x:f>
        <x:v>32</x:v>
      </x:c>
      <x:c r="N21" s="6">
        <x:f>MAX(0,I21-F21)</x:f>
        <x:v>1</x:v>
      </x:c>
      <x:c r="O21" s="3">
        <x:f>N21*E21</x:f>
        <x:v>16</x:v>
      </x:c>
      <x:c r="P21" s="8" t="inlineStr">
        <x:is>
          <x:t xml:space="preserve">Wine Vendor</x:t>
        </x:is>
      </x:c>
    </x:row>
    <x:row r="22">
      <x:c r="A22" s="8" t="inlineStr">
        <x:is>
          <x:t xml:space="preserve">Sparkling Wine</x:t>
        </x:is>
      </x:c>
      <x:c r="B22" s="8" t="inlineStr">
        <x:is>
          <x:t xml:space="preserve">Wine</x:t>
        </x:is>
      </x:c>
      <x:c r="C22" s="2" t="inlineStr">
        <x:is>
          <x:t xml:space="preserve">oz</x:t>
        </x:is>
      </x:c>
      <x:c r="D22" s="6" t="n">
        <x:v>25.36</x:v>
      </x:c>
      <x:c r="E22" s="3" t="n">
        <x:v>12</x:v>
      </x:c>
      <x:c r="F22" s="6" t="n">
        <x:v>6</x:v>
      </x:c>
      <x:c r="G22" s="6">
        <x:f>D22*F22</x:f>
        <x:v>152.16</x:v>
      </x:c>
      <x:c r="H22" s="6" t="n">
        <x:v>2</x:v>
      </x:c>
      <x:c r="I22" s="6" t="n">
        <x:v>8</x:v>
      </x:c>
      <x:c r="J22" s="2">
        <x:f>IF(F22&lt;=H22,"YES","")</x:f>
      </x:c>
      <x:c r="K22" s="6" t="n">
        <x:v>50</x:v>
      </x:c>
      <x:c r="L22" s="9">
        <x:f>IF(K22=0,"-",G22/K22*7)</x:f>
        <x:v>21.302400000000002</x:v>
      </x:c>
      <x:c r="M22" s="3">
        <x:f>E22*F22</x:f>
        <x:v>72</x:v>
      </x:c>
      <x:c r="N22" s="6">
        <x:f>MAX(0,I22-F22)</x:f>
        <x:v>2</x:v>
      </x:c>
      <x:c r="O22" s="3">
        <x:f>N22*E22</x:f>
        <x:v>24</x:v>
      </x:c>
      <x:c r="P22" s="8" t="inlineStr">
        <x:is>
          <x:t xml:space="preserve">Wine Vendor</x:t>
        </x:is>
      </x:c>
    </x:row>
    <x:row r="23">
      <x:c r="A23" s="8" t="inlineStr">
        <x:is>
          <x:t xml:space="preserve">Bianco Amaro</x:t>
        </x:is>
      </x:c>
      <x:c r="B23" s="8" t="inlineStr">
        <x:is>
          <x:t xml:space="preserve">Amaro/Liqueur</x:t>
        </x:is>
      </x:c>
      <x:c r="C23" s="2" t="inlineStr">
        <x:is>
          <x:t xml:space="preserve">oz</x:t>
        </x:is>
      </x:c>
      <x:c r="D23" s="6" t="n">
        <x:v>25.36</x:v>
      </x:c>
      <x:c r="E23" s="3" t="n">
        <x:v>28</x:v>
      </x:c>
      <x:c r="F23" s="6" t="n">
        <x:v>2</x:v>
      </x:c>
      <x:c r="G23" s="6">
        <x:f>D23*F23</x:f>
        <x:v>50.72</x:v>
      </x:c>
      <x:c r="H23" s="6" t="n">
        <x:v>1</x:v>
      </x:c>
      <x:c r="I23" s="6" t="n">
        <x:v>3</x:v>
      </x:c>
      <x:c r="J23" s="2">
        <x:f>IF(F23&lt;=H23,"YES","")</x:f>
      </x:c>
      <x:c r="K23" s="6" t="n">
        <x:v>13.5</x:v>
      </x:c>
      <x:c r="L23" s="9">
        <x:f>IF(K23=0,"-",G23/K23*7)</x:f>
        <x:v>26.29925925925926</x:v>
      </x:c>
      <x:c r="M23" s="3">
        <x:f>E23*F23</x:f>
        <x:v>56</x:v>
      </x:c>
      <x:c r="N23" s="6">
        <x:f>MAX(0,I23-F23)</x:f>
        <x:v>1</x:v>
      </x:c>
      <x:c r="O23" s="3">
        <x:f>N23*E23</x:f>
        <x:v>28</x:v>
      </x:c>
      <x:c r="P23" s="8" t="inlineStr">
        <x:is>
          <x:t xml:space="preserve">Specialty Importer</x:t>
        </x:is>
      </x:c>
    </x:row>
    <x:row r="24">
      <x:c r="A24" s="8" t="inlineStr">
        <x:is>
          <x:t xml:space="preserve">Cynar</x:t>
        </x:is>
      </x:c>
      <x:c r="B24" s="8" t="inlineStr">
        <x:is>
          <x:t xml:space="preserve">Amaro/Liqueur</x:t>
        </x:is>
      </x:c>
      <x:c r="C24" s="2" t="inlineStr">
        <x:is>
          <x:t xml:space="preserve">oz</x:t>
        </x:is>
      </x:c>
      <x:c r="D24" s="6" t="n">
        <x:v>25.36</x:v>
      </x:c>
      <x:c r="E24" s="3" t="n">
        <x:v>26</x:v>
      </x:c>
      <x:c r="F24" s="6" t="n">
        <x:v>2</x:v>
      </x:c>
      <x:c r="G24" s="6">
        <x:f>D24*F24</x:f>
        <x:v>50.72</x:v>
      </x:c>
      <x:c r="H24" s="6" t="n">
        <x:v>1</x:v>
      </x:c>
      <x:c r="I24" s="6" t="n">
        <x:v>3</x:v>
      </x:c>
      <x:c r="J24" s="2">
        <x:f>IF(F24&lt;=H24,"YES","")</x:f>
      </x:c>
      <x:c r="K24" s="6" t="n">
        <x:v>7</x:v>
      </x:c>
      <x:c r="L24" s="9">
        <x:f>IF(K24=0,"-",G24/K24*7)</x:f>
        <x:v>50.72</x:v>
      </x:c>
      <x:c r="M24" s="3">
        <x:f>E24*F24</x:f>
        <x:v>52</x:v>
      </x:c>
      <x:c r="N24" s="6">
        <x:f>MAX(0,I24-F24)</x:f>
        <x:v>1</x:v>
      </x:c>
      <x:c r="O24" s="3">
        <x:f>N24*E24</x:f>
        <x:v>26</x:v>
      </x:c>
      <x:c r="P24" s="8" t="inlineStr">
        <x:is>
          <x:t xml:space="preserve">Breakthru Beverage</x:t>
        </x:is>
      </x:c>
    </x:row>
    <x:row r="25">
      <x:c r="A25" s="8" t="inlineStr">
        <x:is>
          <x:t xml:space="preserve">San Lucid Garden Amaro</x:t>
        </x:is>
      </x:c>
      <x:c r="B25" s="8" t="inlineStr">
        <x:is>
          <x:t xml:space="preserve">Amaro/Liqueur</x:t>
        </x:is>
      </x:c>
      <x:c r="C25" s="2" t="inlineStr">
        <x:is>
          <x:t xml:space="preserve">oz</x:t>
        </x:is>
      </x:c>
      <x:c r="D25" s="6" t="n">
        <x:v>25.36</x:v>
      </x:c>
      <x:c r="E25" s="3" t="n">
        <x:v>30</x:v>
      </x:c>
      <x:c r="F25" s="6" t="n">
        <x:v>2</x:v>
      </x:c>
      <x:c r="G25" s="6">
        <x:f>D25*F25</x:f>
        <x:v>50.72</x:v>
      </x:c>
      <x:c r="H25" s="6" t="n">
        <x:v>1</x:v>
      </x:c>
      <x:c r="I25" s="6" t="n">
        <x:v>3</x:v>
      </x:c>
      <x:c r="J25" s="2">
        <x:f>IF(F25&lt;=H25,"YES","")</x:f>
      </x:c>
      <x:c r="K25" s="6" t="n">
        <x:v>8</x:v>
      </x:c>
      <x:c r="L25" s="9">
        <x:f>IF(K25=0,"-",G25/K25*7)</x:f>
        <x:v>44.379999999999995</x:v>
      </x:c>
      <x:c r="M25" s="3">
        <x:f>E25*F25</x:f>
        <x:v>60</x:v>
      </x:c>
      <x:c r="N25" s="6">
        <x:f>MAX(0,I25-F25)</x:f>
        <x:v>1</x:v>
      </x:c>
      <x:c r="O25" s="3">
        <x:f>N25*E25</x:f>
        <x:v>30</x:v>
      </x:c>
      <x:c r="P25" s="8" t="inlineStr">
        <x:is>
          <x:t xml:space="preserve">Specialty Importer</x:t>
        </x:is>
      </x:c>
    </x:row>
    <x:row r="26">
      <x:c r="A26" s="8" t="inlineStr">
        <x:is>
          <x:t xml:space="preserve">Amaro (Generic)</x:t>
        </x:is>
      </x:c>
      <x:c r="B26" s="8" t="inlineStr">
        <x:is>
          <x:t xml:space="preserve">Amaro/Liqueur</x:t>
        </x:is>
      </x:c>
      <x:c r="C26" s="2" t="inlineStr">
        <x:is>
          <x:t xml:space="preserve">oz</x:t>
        </x:is>
      </x:c>
      <x:c r="D26" s="6" t="n">
        <x:v>25.36</x:v>
      </x:c>
      <x:c r="E26" s="3" t="n">
        <x:v>24</x:v>
      </x:c>
      <x:c r="F26" s="6" t="n">
        <x:v>1</x:v>
      </x:c>
      <x:c r="G26" s="6">
        <x:f>D26*F26</x:f>
        <x:v>25.36</x:v>
      </x:c>
      <x:c r="H26" s="6" t="n">
        <x:v>1</x:v>
      </x:c>
      <x:c r="I26" s="6" t="n">
        <x:v>2</x:v>
      </x:c>
      <x:c r="J26" s="2" t="str">
        <x:f>IF(F26&lt;=H26,"YES","")</x:f>
        <x:v>YES</x:v>
      </x:c>
      <x:c r="K26" s="6" t="n">
        <x:v>3.5</x:v>
      </x:c>
      <x:c r="L26" s="9">
        <x:f>IF(K26=0,"-",G26/K26*7)</x:f>
        <x:v>50.72</x:v>
      </x:c>
      <x:c r="M26" s="3">
        <x:f>E26*F26</x:f>
        <x:v>24</x:v>
      </x:c>
      <x:c r="N26" s="6">
        <x:f>MAX(0,I26-F26)</x:f>
        <x:v>1</x:v>
      </x:c>
      <x:c r="O26" s="3">
        <x:f>N26*E26</x:f>
        <x:v>24</x:v>
      </x:c>
      <x:c r="P26" s="8" t="inlineStr">
        <x:is>
          <x:t xml:space="preserve">Specialty Importer</x:t>
        </x:is>
      </x:c>
    </x:row>
    <x:row r="27">
      <x:c r="A27" s="8" t="inlineStr">
        <x:is>
          <x:t xml:space="preserve">Red Aperitif</x:t>
        </x:is>
      </x:c>
      <x:c r="B27" s="8" t="inlineStr">
        <x:is>
          <x:t xml:space="preserve">Amaro/Liqueur</x:t>
        </x:is>
      </x:c>
      <x:c r="C27" s="2" t="inlineStr">
        <x:is>
          <x:t xml:space="preserve">oz</x:t>
        </x:is>
      </x:c>
      <x:c r="D27" s="6" t="n">
        <x:v>25.36</x:v>
      </x:c>
      <x:c r="E27" s="3" t="n">
        <x:v>22</x:v>
      </x:c>
      <x:c r="F27" s="6" t="n">
        <x:v>2</x:v>
      </x:c>
      <x:c r="G27" s="6">
        <x:f>D27*F27</x:f>
        <x:v>50.72</x:v>
      </x:c>
      <x:c r="H27" s="6" t="n">
        <x:v>1</x:v>
      </x:c>
      <x:c r="I27" s="6" t="n">
        <x:v>3</x:v>
      </x:c>
      <x:c r="J27" s="2">
        <x:f>IF(F27&lt;=H27,"YES","")</x:f>
      </x:c>
      <x:c r="K27" s="6" t="n">
        <x:v>12.5</x:v>
      </x:c>
      <x:c r="L27" s="9">
        <x:f>IF(K27=0,"-",G27/K27*7)</x:f>
        <x:v>28.4032</x:v>
      </x:c>
      <x:c r="M27" s="3">
        <x:f>E27*F27</x:f>
        <x:v>44</x:v>
      </x:c>
      <x:c r="N27" s="6">
        <x:f>MAX(0,I27-F27)</x:f>
        <x:v>1</x:v>
      </x:c>
      <x:c r="O27" s="3">
        <x:f>N27*E27</x:f>
        <x:v>22</x:v>
      </x:c>
      <x:c r="P27" s="8" t="inlineStr">
        <x:is>
          <x:t xml:space="preserve">Wine Vendor</x:t>
        </x:is>
      </x:c>
    </x:row>
    <x:row r="28">
      <x:c r="A28" s="8" t="inlineStr">
        <x:is>
          <x:t xml:space="preserve">Maraschino Liqueur</x:t>
        </x:is>
      </x:c>
      <x:c r="B28" s="8" t="inlineStr">
        <x:is>
          <x:t xml:space="preserve">Amaro/Liqueur</x:t>
        </x:is>
      </x:c>
      <x:c r="C28" s="2" t="inlineStr">
        <x:is>
          <x:t xml:space="preserve">oz</x:t>
        </x:is>
      </x:c>
      <x:c r="D28" s="6" t="n">
        <x:v>25.36</x:v>
      </x:c>
      <x:c r="E28" s="3" t="n">
        <x:v>24</x:v>
      </x:c>
      <x:c r="F28" s="6" t="n">
        <x:v>2</x:v>
      </x:c>
      <x:c r="G28" s="6">
        <x:f>D28*F28</x:f>
        <x:v>50.72</x:v>
      </x:c>
      <x:c r="H28" s="6" t="n">
        <x:v>1</x:v>
      </x:c>
      <x:c r="I28" s="6" t="n">
        <x:v>3</x:v>
      </x:c>
      <x:c r="J28" s="2">
        <x:f>IF(F28&lt;=H28,"YES","")</x:f>
      </x:c>
      <x:c r="K28" s="6" t="n">
        <x:v>3.75</x:v>
      </x:c>
      <x:c r="L28" s="9">
        <x:f>IF(K28=0,"-",G28/K28*7)</x:f>
        <x:v>94.67733333333332</x:v>
      </x:c>
      <x:c r="M28" s="3">
        <x:f>E28*F28</x:f>
        <x:v>48</x:v>
      </x:c>
      <x:c r="N28" s="6">
        <x:f>MAX(0,I28-F28)</x:f>
        <x:v>1</x:v>
      </x:c>
      <x:c r="O28" s="3">
        <x:f>N28*E28</x:f>
        <x:v>24</x:v>
      </x:c>
      <x:c r="P28" s="8" t="inlineStr">
        <x:is>
          <x:t xml:space="preserve">Wine Vendor</x:t>
        </x:is>
      </x:c>
    </x:row>
    <x:row r="29">
      <x:c r="A29" s="8" t="inlineStr">
        <x:is>
          <x:t xml:space="preserve">Falernum</x:t>
        </x:is>
      </x:c>
      <x:c r="B29" s="8" t="inlineStr">
        <x:is>
          <x:t xml:space="preserve">Amaro/Liqueur</x:t>
        </x:is>
      </x:c>
      <x:c r="C29" s="2" t="inlineStr">
        <x:is>
          <x:t xml:space="preserve">oz</x:t>
        </x:is>
      </x:c>
      <x:c r="D29" s="6" t="n">
        <x:v>25.36</x:v>
      </x:c>
      <x:c r="E29" s="3" t="n">
        <x:v>18</x:v>
      </x:c>
      <x:c r="F29" s="6" t="n">
        <x:v>1</x:v>
      </x:c>
      <x:c r="G29" s="6">
        <x:f>D29*F29</x:f>
        <x:v>25.36</x:v>
      </x:c>
      <x:c r="H29" s="6" t="n">
        <x:v>1</x:v>
      </x:c>
      <x:c r="I29" s="6" t="n">
        <x:v>2</x:v>
      </x:c>
      <x:c r="J29" s="2" t="str">
        <x:f>IF(F29&lt;=H29,"YES","")</x:f>
        <x:v>YES</x:v>
      </x:c>
      <x:c r="K29" s="6" t="n">
        <x:v>5.5</x:v>
      </x:c>
      <x:c r="L29" s="9">
        <x:f>IF(K29=0,"-",G29/K29*7)</x:f>
        <x:v>32.276363636363634</x:v>
      </x:c>
      <x:c r="M29" s="3">
        <x:f>E29*F29</x:f>
        <x:v>18</x:v>
      </x:c>
      <x:c r="N29" s="6">
        <x:f>MAX(0,I29-F29)</x:f>
        <x:v>1</x:v>
      </x:c>
      <x:c r="O29" s="3">
        <x:f>N29*E29</x:f>
        <x:v>18</x:v>
      </x:c>
      <x:c r="P29" s="8" t="inlineStr">
        <x:is>
          <x:t xml:space="preserve">Specialty Importer</x:t>
        </x:is>
      </x:c>
    </x:row>
    <x:row r="30">
      <x:c r="A30" s="8" t="inlineStr">
        <x:is>
          <x:t xml:space="preserve">Gnartrueuse (Herbal)</x:t>
        </x:is>
      </x:c>
      <x:c r="B30" s="8" t="inlineStr">
        <x:is>
          <x:t xml:space="preserve">Amaro/Liqueur</x:t>
        </x:is>
      </x:c>
      <x:c r="C30" s="2" t="inlineStr">
        <x:is>
          <x:t xml:space="preserve">oz</x:t>
        </x:is>
      </x:c>
      <x:c r="D30" s="6" t="n">
        <x:v>25.36</x:v>
      </x:c>
      <x:c r="E30" s="3" t="n">
        <x:v>55</x:v>
      </x:c>
      <x:c r="F30" s="6" t="n">
        <x:v>1</x:v>
      </x:c>
      <x:c r="G30" s="6">
        <x:f>D30*F30</x:f>
        <x:v>25.36</x:v>
      </x:c>
      <x:c r="H30" s="6" t="n">
        <x:v>1</x:v>
      </x:c>
      <x:c r="I30" s="6" t="n">
        <x:v>2</x:v>
      </x:c>
      <x:c r="J30" s="2" t="str">
        <x:f>IF(F30&lt;=H30,"YES","")</x:f>
        <x:v>YES</x:v>
      </x:c>
      <x:c r="K30" s="6" t="n">
        <x:v>4.5</x:v>
      </x:c>
      <x:c r="L30" s="9">
        <x:f>IF(K30=0,"-",G30/K30*7)</x:f>
        <x:v>39.44888888888889</x:v>
      </x:c>
      <x:c r="M30" s="3">
        <x:f>E30*F30</x:f>
        <x:v>55</x:v>
      </x:c>
      <x:c r="N30" s="6">
        <x:f>MAX(0,I30-F30)</x:f>
        <x:v>1</x:v>
      </x:c>
      <x:c r="O30" s="3">
        <x:f>N30*E30</x:f>
        <x:v>55</x:v>
      </x:c>
      <x:c r="P30" s="8" t="inlineStr">
        <x:is>
          <x:t xml:space="preserve">Specialty Importer</x:t>
        </x:is>
      </x:c>
    </x:row>
    <x:row r="31">
      <x:c r="A31" s="8" t="inlineStr">
        <x:is>
          <x:t xml:space="preserve">Ruibarbo Bitter</x:t>
        </x:is>
      </x:c>
      <x:c r="B31" s="8" t="inlineStr">
        <x:is>
          <x:t xml:space="preserve">Amaro/Liqueur</x:t>
        </x:is>
      </x:c>
      <x:c r="C31" s="2" t="inlineStr">
        <x:is>
          <x:t xml:space="preserve">oz</x:t>
        </x:is>
      </x:c>
      <x:c r="D31" s="6" t="n">
        <x:v>25.36</x:v>
      </x:c>
      <x:c r="E31" s="3" t="n">
        <x:v>20</x:v>
      </x:c>
      <x:c r="F31" s="6" t="n">
        <x:v>1</x:v>
      </x:c>
      <x:c r="G31" s="6">
        <x:f>D31*F31</x:f>
        <x:v>25.36</x:v>
      </x:c>
      <x:c r="H31" s="6" t="n">
        <x:v>1</x:v>
      </x:c>
      <x:c r="I31" s="6" t="n">
        <x:v>2</x:v>
      </x:c>
      <x:c r="J31" s="2" t="str">
        <x:f>IF(F31&lt;=H31,"YES","")</x:f>
        <x:v>YES</x:v>
      </x:c>
      <x:c r="K31" s="6" t="n">
        <x:v>0.72</x:v>
      </x:c>
      <x:c r="L31" s="9">
        <x:f>IF(K31=0,"-",G31/K31*7)</x:f>
        <x:v>246.55555555555554</x:v>
      </x:c>
      <x:c r="M31" s="3">
        <x:f>E31*F31</x:f>
        <x:v>20</x:v>
      </x:c>
      <x:c r="N31" s="6">
        <x:f>MAX(0,I31-F31)</x:f>
        <x:v>1</x:v>
      </x:c>
      <x:c r="O31" s="3">
        <x:f>N31*E31</x:f>
        <x:v>20</x:v>
      </x:c>
      <x:c r="P31" s="8" t="inlineStr">
        <x:is>
          <x:t xml:space="preserve">Specialty Importer</x:t>
        </x:is>
      </x:c>
    </x:row>
    <x:row r="32">
      <x:c r="A32" s="8" t="inlineStr">
        <x:is>
          <x:t xml:space="preserve">Salty Orange Bitters</x:t>
        </x:is>
      </x:c>
      <x:c r="B32" s="8" t="inlineStr">
        <x:is>
          <x:t xml:space="preserve">Bitters</x:t>
        </x:is>
      </x:c>
      <x:c r="C32" s="2" t="inlineStr">
        <x:is>
          <x:t xml:space="preserve">oz</x:t>
        </x:is>
      </x:c>
      <x:c r="D32" s="6" t="n">
        <x:v>4</x:v>
      </x:c>
      <x:c r="E32" s="3" t="n">
        <x:v>12</x:v>
      </x:c>
      <x:c r="F32" s="6" t="n">
        <x:v>2</x:v>
      </x:c>
      <x:c r="G32" s="6">
        <x:f>D32*F32</x:f>
        <x:v>8</x:v>
      </x:c>
      <x:c r="H32" s="6" t="n">
        <x:v>1</x:v>
      </x:c>
      <x:c r="I32" s="6" t="n">
        <x:v>3</x:v>
      </x:c>
      <x:c r="J32" s="2">
        <x:f>IF(F32&lt;=H32,"YES","")</x:f>
      </x:c>
      <x:c r="K32" s="6" t="n">
        <x:v>0.5600000000000001</x:v>
      </x:c>
      <x:c r="L32" s="9">
        <x:f>IF(K32=0,"-",G32/K32*7)</x:f>
        <x:v>100</x:v>
      </x:c>
      <x:c r="M32" s="3">
        <x:f>E32*F32</x:f>
        <x:v>24</x:v>
      </x:c>
      <x:c r="N32" s="6">
        <x:f>MAX(0,I32-F32)</x:f>
        <x:v>1</x:v>
      </x:c>
      <x:c r="O32" s="3">
        <x:f>N32*E32</x:f>
        <x:v>12</x:v>
      </x:c>
      <x:c r="P32" s="8" t="inlineStr">
        <x:is>
          <x:t xml:space="preserve">Bitters Supplier</x:t>
        </x:is>
      </x:c>
    </x:row>
    <x:row r="33">
      <x:c r="A33" s="8" t="inlineStr">
        <x:is>
          <x:t xml:space="preserve">Aromatic Bitters</x:t>
        </x:is>
      </x:c>
      <x:c r="B33" s="8" t="inlineStr">
        <x:is>
          <x:t xml:space="preserve">Bitters</x:t>
        </x:is>
      </x:c>
      <x:c r="C33" s="2" t="inlineStr">
        <x:is>
          <x:t xml:space="preserve">oz</x:t>
        </x:is>
      </x:c>
      <x:c r="D33" s="6" t="n">
        <x:v>4</x:v>
      </x:c>
      <x:c r="E33" s="3" t="n">
        <x:v>10</x:v>
      </x:c>
      <x:c r="F33" s="6" t="n">
        <x:v>2</x:v>
      </x:c>
      <x:c r="G33" s="6">
        <x:f>D33*F33</x:f>
        <x:v>8</x:v>
      </x:c>
      <x:c r="H33" s="6" t="n">
        <x:v>1</x:v>
      </x:c>
      <x:c r="I33" s="6" t="n">
        <x:v>3</x:v>
      </x:c>
      <x:c r="J33" s="2">
        <x:f>IF(F33&lt;=H33,"YES","")</x:f>
      </x:c>
      <x:c r="K33" s="6" t="n">
        <x:v>0.8</x:v>
      </x:c>
      <x:c r="L33" s="9">
        <x:f>IF(K33=0,"-",G33/K33*7)</x:f>
        <x:v>70</x:v>
      </x:c>
      <x:c r="M33" s="3">
        <x:f>E33*F33</x:f>
        <x:v>20</x:v>
      </x:c>
      <x:c r="N33" s="6">
        <x:f>MAX(0,I33-F33)</x:f>
        <x:v>1</x:v>
      </x:c>
      <x:c r="O33" s="3">
        <x:f>N33*E33</x:f>
        <x:v>10</x:v>
      </x:c>
      <x:c r="P33" s="8" t="inlineStr">
        <x:is>
          <x:t xml:space="preserve">Bitters Supplier</x:t>
        </x:is>
      </x:c>
    </x:row>
    <x:row r="34">
      <x:c r="A34" s="8" t="inlineStr">
        <x:is>
          <x:t xml:space="preserve">Kombu Bitters</x:t>
        </x:is>
      </x:c>
      <x:c r="B34" s="8" t="inlineStr">
        <x:is>
          <x:t xml:space="preserve">Bitters</x:t>
        </x:is>
      </x:c>
      <x:c r="C34" s="2" t="inlineStr">
        <x:is>
          <x:t xml:space="preserve">oz</x:t>
        </x:is>
      </x:c>
      <x:c r="D34" s="6" t="n">
        <x:v>4</x:v>
      </x:c>
      <x:c r="E34" s="3" t="n">
        <x:v>14</x:v>
      </x:c>
      <x:c r="F34" s="6" t="n">
        <x:v>2</x:v>
      </x:c>
      <x:c r="G34" s="6">
        <x:f>D34*F34</x:f>
        <x:v>8</x:v>
      </x:c>
      <x:c r="H34" s="6" t="n">
        <x:v>1</x:v>
      </x:c>
      <x:c r="I34" s="6" t="n">
        <x:v>3</x:v>
      </x:c>
      <x:c r="J34" s="2">
        <x:f>IF(F34&lt;=H34,"YES","")</x:f>
      </x:c>
      <x:c r="K34" s="6" t="n">
        <x:v>0.6</x:v>
      </x:c>
      <x:c r="L34" s="9">
        <x:f>IF(K34=0,"-",G34/K34*7)</x:f>
        <x:v>93.33333333333334</x:v>
      </x:c>
      <x:c r="M34" s="3">
        <x:f>E34*F34</x:f>
        <x:v>28</x:v>
      </x:c>
      <x:c r="N34" s="6">
        <x:f>MAX(0,I34-F34)</x:f>
        <x:v>1</x:v>
      </x:c>
      <x:c r="O34" s="3">
        <x:f>N34*E34</x:f>
        <x:v>14</x:v>
      </x:c>
      <x:c r="P34" s="8" t="inlineStr">
        <x:is>
          <x:t xml:space="preserve">Bitters Supplier</x:t>
        </x:is>
      </x:c>
    </x:row>
    <x:row r="35">
      <x:c r="A35" s="8" t="inlineStr">
        <x:is>
          <x:t xml:space="preserve">Pistachio Syrup</x:t>
        </x:is>
      </x:c>
      <x:c r="B35" s="8" t="inlineStr">
        <x:is>
          <x:t xml:space="preserve">Prep/Syrup</x:t>
        </x:is>
      </x:c>
      <x:c r="C35" s="2" t="inlineStr">
        <x:is>
          <x:t xml:space="preserve">oz</x:t>
        </x:is>
      </x:c>
      <x:c r="D35" s="6" t="n">
        <x:v>33.8</x:v>
      </x:c>
      <x:c r="E35" s="3" t="n">
        <x:v>9</x:v>
      </x:c>
      <x:c r="F35" s="6" t="n">
        <x:v>2</x:v>
      </x:c>
      <x:c r="G35" s="6">
        <x:f>D35*F35</x:f>
        <x:v>67.6</x:v>
      </x:c>
      <x:c r="H35" s="6" t="n">
        <x:v>1</x:v>
      </x:c>
      <x:c r="I35" s="6" t="n">
        <x:v>3</x:v>
      </x:c>
      <x:c r="J35" s="2">
        <x:f>IF(F35&lt;=H35,"YES","")</x:f>
      </x:c>
      <x:c r="K35" s="6" t="n">
        <x:v>15</x:v>
      </x:c>
      <x:c r="L35" s="9">
        <x:f>IF(K35=0,"-",G35/K35*7)</x:f>
        <x:v>31.54666666666666</x:v>
      </x:c>
      <x:c r="M35" s="3">
        <x:f>E35*F35</x:f>
        <x:v>18</x:v>
      </x:c>
      <x:c r="N35" s="6">
        <x:f>MAX(0,I35-F35)</x:f>
        <x:v>1</x:v>
      </x:c>
      <x:c r="O35" s="3">
        <x:f>N35*E35</x:f>
        <x:v>9</x:v>
      </x:c>
      <x:c r="P35" s="8" t="inlineStr">
        <x:is>
          <x:t xml:space="preserve">In-house Prep</x:t>
        </x:is>
      </x:c>
    </x:row>
    <x:row r="36">
      <x:c r="A36" s="8" t="inlineStr">
        <x:is>
          <x:t xml:space="preserve">Ginger Syrup</x:t>
        </x:is>
      </x:c>
      <x:c r="B36" s="8" t="inlineStr">
        <x:is>
          <x:t xml:space="preserve">Prep/Syrup</x:t>
        </x:is>
      </x:c>
      <x:c r="C36" s="2" t="inlineStr">
        <x:is>
          <x:t xml:space="preserve">oz</x:t>
        </x:is>
      </x:c>
      <x:c r="D36" s="6" t="n">
        <x:v>33.8</x:v>
      </x:c>
      <x:c r="E36" s="3" t="n">
        <x:v>6.5</x:v>
      </x:c>
      <x:c r="F36" s="6" t="n">
        <x:v>2</x:v>
      </x:c>
      <x:c r="G36" s="6">
        <x:f>D36*F36</x:f>
        <x:v>67.6</x:v>
      </x:c>
      <x:c r="H36" s="6" t="n">
        <x:v>1</x:v>
      </x:c>
      <x:c r="I36" s="6" t="n">
        <x:v>3</x:v>
      </x:c>
      <x:c r="J36" s="2">
        <x:f>IF(F36&lt;=H36,"YES","")</x:f>
      </x:c>
      <x:c r="K36" s="6" t="n">
        <x:v>15</x:v>
      </x:c>
      <x:c r="L36" s="9">
        <x:f>IF(K36=0,"-",G36/K36*7)</x:f>
        <x:v>31.54666666666666</x:v>
      </x:c>
      <x:c r="M36" s="3">
        <x:f>E36*F36</x:f>
        <x:v>13</x:v>
      </x:c>
      <x:c r="N36" s="6">
        <x:f>MAX(0,I36-F36)</x:f>
        <x:v>1</x:v>
      </x:c>
      <x:c r="O36" s="3">
        <x:f>N36*E36</x:f>
        <x:v>6.5</x:v>
      </x:c>
      <x:c r="P36" s="8" t="inlineStr">
        <x:is>
          <x:t xml:space="preserve">In-house Prep</x:t>
        </x:is>
      </x:c>
    </x:row>
    <x:row r="37">
      <x:c r="A37" s="8" t="inlineStr">
        <x:is>
          <x:t xml:space="preserve">Agave Shrub</x:t>
        </x:is>
      </x:c>
      <x:c r="B37" s="8" t="inlineStr">
        <x:is>
          <x:t xml:space="preserve">Prep/Syrup</x:t>
        </x:is>
      </x:c>
      <x:c r="C37" s="2" t="inlineStr">
        <x:is>
          <x:t xml:space="preserve">oz</x:t>
        </x:is>
      </x:c>
      <x:c r="D37" s="6" t="n">
        <x:v>33.8</x:v>
      </x:c>
      <x:c r="E37" s="3" t="n">
        <x:v>7.5</x:v>
      </x:c>
      <x:c r="F37" s="6" t="n">
        <x:v>2</x:v>
      </x:c>
      <x:c r="G37" s="6">
        <x:f>D37*F37</x:f>
        <x:v>67.6</x:v>
      </x:c>
      <x:c r="H37" s="6" t="n">
        <x:v>1</x:v>
      </x:c>
      <x:c r="I37" s="6" t="n">
        <x:v>3</x:v>
      </x:c>
      <x:c r="J37" s="2">
        <x:f>IF(F37&lt;=H37,"YES","")</x:f>
      </x:c>
      <x:c r="K37" s="6" t="n">
        <x:v>41.25</x:v>
      </x:c>
      <x:c r="L37" s="9">
        <x:f>IF(K37=0,"-",G37/K37*7)</x:f>
        <x:v>11.47151515151515</x:v>
      </x:c>
      <x:c r="M37" s="3">
        <x:f>E37*F37</x:f>
        <x:v>15</x:v>
      </x:c>
      <x:c r="N37" s="6">
        <x:f>MAX(0,I37-F37)</x:f>
        <x:v>1</x:v>
      </x:c>
      <x:c r="O37" s="3">
        <x:f>N37*E37</x:f>
        <x:v>7.5</x:v>
      </x:c>
      <x:c r="P37" s="8" t="inlineStr">
        <x:is>
          <x:t xml:space="preserve">In-house Prep</x:t>
        </x:is>
      </x:c>
    </x:row>
    <x:row r="38">
      <x:c r="A38" s="8" t="inlineStr">
        <x:is>
          <x:t xml:space="preserve">Honey Syrup</x:t>
        </x:is>
      </x:c>
      <x:c r="B38" s="8" t="inlineStr">
        <x:is>
          <x:t xml:space="preserve">Prep/Syrup</x:t>
        </x:is>
      </x:c>
      <x:c r="C38" s="2" t="inlineStr">
        <x:is>
          <x:t xml:space="preserve">oz</x:t>
        </x:is>
      </x:c>
      <x:c r="D38" s="6" t="n">
        <x:v>33.8</x:v>
      </x:c>
      <x:c r="E38" s="3" t="n">
        <x:v>6</x:v>
      </x:c>
      <x:c r="F38" s="6" t="n">
        <x:v>3</x:v>
      </x:c>
      <x:c r="G38" s="6">
        <x:f>D38*F38</x:f>
        <x:v>101.39999999999999</x:v>
      </x:c>
      <x:c r="H38" s="6" t="n">
        <x:v>1</x:v>
      </x:c>
      <x:c r="I38" s="6" t="n">
        <x:v>4</x:v>
      </x:c>
      <x:c r="J38" s="2">
        <x:f>IF(F38&lt;=H38,"YES","")</x:f>
      </x:c>
      <x:c r="K38" s="6" t="n">
        <x:v>18.25</x:v>
      </x:c>
      <x:c r="L38" s="9">
        <x:f>IF(K38=0,"-",G38/K38*7)</x:f>
        <x:v>38.893150684931506</x:v>
      </x:c>
      <x:c r="M38" s="3">
        <x:f>E38*F38</x:f>
        <x:v>18</x:v>
      </x:c>
      <x:c r="N38" s="6">
        <x:f>MAX(0,I38-F38)</x:f>
        <x:v>1</x:v>
      </x:c>
      <x:c r="O38" s="3">
        <x:f>N38*E38</x:f>
        <x:v>6</x:v>
      </x:c>
      <x:c r="P38" s="8" t="inlineStr">
        <x:is>
          <x:t xml:space="preserve">In-house Prep</x:t>
        </x:is>
      </x:c>
    </x:row>
    <x:row r="39">
      <x:c r="A39" s="8" t="inlineStr">
        <x:is>
          <x:t xml:space="preserve">Salted Banana Syrup</x:t>
        </x:is>
      </x:c>
      <x:c r="B39" s="8" t="inlineStr">
        <x:is>
          <x:t xml:space="preserve">Prep/Syrup</x:t>
        </x:is>
      </x:c>
      <x:c r="C39" s="2" t="inlineStr">
        <x:is>
          <x:t xml:space="preserve">oz</x:t>
        </x:is>
      </x:c>
      <x:c r="D39" s="6" t="n">
        <x:v>33.8</x:v>
      </x:c>
      <x:c r="E39" s="3" t="n">
        <x:v>7</x:v>
      </x:c>
      <x:c r="F39" s="6" t="n">
        <x:v>1</x:v>
      </x:c>
      <x:c r="G39" s="6">
        <x:f>D39*F39</x:f>
        <x:v>33.8</x:v>
      </x:c>
      <x:c r="H39" s="6" t="n">
        <x:v>1</x:v>
      </x:c>
      <x:c r="I39" s="6" t="n">
        <x:v>2</x:v>
      </x:c>
      <x:c r="J39" s="2" t="str">
        <x:f>IF(F39&lt;=H39,"YES","")</x:f>
        <x:v>YES</x:v>
      </x:c>
      <x:c r="K39" s="6" t="n">
        <x:v>14</x:v>
      </x:c>
      <x:c r="L39" s="9">
        <x:f>IF(K39=0,"-",G39/K39*7)</x:f>
        <x:v>16.9</x:v>
      </x:c>
      <x:c r="M39" s="3">
        <x:f>E39*F39</x:f>
        <x:v>7</x:v>
      </x:c>
      <x:c r="N39" s="6">
        <x:f>MAX(0,I39-F39)</x:f>
        <x:v>1</x:v>
      </x:c>
      <x:c r="O39" s="3">
        <x:f>N39*E39</x:f>
        <x:v>7</x:v>
      </x:c>
      <x:c r="P39" s="8" t="inlineStr">
        <x:is>
          <x:t xml:space="preserve">In-house Prep</x:t>
        </x:is>
      </x:c>
    </x:row>
    <x:row r="40">
      <x:c r="A40" s="8" t="inlineStr">
        <x:is>
          <x:t xml:space="preserve">Forbidden Rice Syrup</x:t>
        </x:is>
      </x:c>
      <x:c r="B40" s="8" t="inlineStr">
        <x:is>
          <x:t xml:space="preserve">Prep/Syrup</x:t>
        </x:is>
      </x:c>
      <x:c r="C40" s="2" t="inlineStr">
        <x:is>
          <x:t xml:space="preserve">oz</x:t>
        </x:is>
      </x:c>
      <x:c r="D40" s="6" t="n">
        <x:v>33.8</x:v>
      </x:c>
      <x:c r="E40" s="3" t="n">
        <x:v>7</x:v>
      </x:c>
      <x:c r="F40" s="6" t="n">
        <x:v>1</x:v>
      </x:c>
      <x:c r="G40" s="6">
        <x:f>D40*F40</x:f>
        <x:v>33.8</x:v>
      </x:c>
      <x:c r="H40" s="6" t="n">
        <x:v>1</x:v>
      </x:c>
      <x:c r="I40" s="6" t="n">
        <x:v>2</x:v>
      </x:c>
      <x:c r="J40" s="2" t="str">
        <x:f>IF(F40&lt;=H40,"YES","")</x:f>
        <x:v>YES</x:v>
      </x:c>
      <x:c r="K40" s="6" t="n">
        <x:v>7</x:v>
      </x:c>
      <x:c r="L40" s="9">
        <x:f>IF(K40=0,"-",G40/K40*7)</x:f>
        <x:v>33.8</x:v>
      </x:c>
      <x:c r="M40" s="3">
        <x:f>E40*F40</x:f>
        <x:v>7</x:v>
      </x:c>
      <x:c r="N40" s="6">
        <x:f>MAX(0,I40-F40)</x:f>
        <x:v>1</x:v>
      </x:c>
      <x:c r="O40" s="3">
        <x:f>N40*E40</x:f>
        <x:v>7</x:v>
      </x:c>
      <x:c r="P40" s="8" t="inlineStr">
        <x:is>
          <x:t xml:space="preserve">In-house Prep</x:t>
        </x:is>
      </x:c>
    </x:row>
    <x:row r="41">
      <x:c r="A41" s="8" t="inlineStr">
        <x:is>
          <x:t xml:space="preserve">Raspberry Syrup</x:t>
        </x:is>
      </x:c>
      <x:c r="B41" s="8" t="inlineStr">
        <x:is>
          <x:t xml:space="preserve">Prep/Syrup</x:t>
        </x:is>
      </x:c>
      <x:c r="C41" s="2" t="inlineStr">
        <x:is>
          <x:t xml:space="preserve">oz</x:t>
        </x:is>
      </x:c>
      <x:c r="D41" s="6" t="n">
        <x:v>33.8</x:v>
      </x:c>
      <x:c r="E41" s="3" t="n">
        <x:v>6</x:v>
      </x:c>
      <x:c r="F41" s="6" t="n">
        <x:v>2</x:v>
      </x:c>
      <x:c r="G41" s="6">
        <x:f>D41*F41</x:f>
        <x:v>67.6</x:v>
      </x:c>
      <x:c r="H41" s="6" t="n">
        <x:v>1</x:v>
      </x:c>
      <x:c r="I41" s="6" t="n">
        <x:v>3</x:v>
      </x:c>
      <x:c r="J41" s="2">
        <x:f>IF(F41&lt;=H41,"YES","")</x:f>
      </x:c>
      <x:c r="K41" s="6" t="n">
        <x:v>11</x:v>
      </x:c>
      <x:c r="L41" s="9">
        <x:f>IF(K41=0,"-",G41/K41*7)</x:f>
        <x:v>43.018181818181816</x:v>
      </x:c>
      <x:c r="M41" s="3">
        <x:f>E41*F41</x:f>
        <x:v>12</x:v>
      </x:c>
      <x:c r="N41" s="6">
        <x:f>MAX(0,I41-F41)</x:f>
        <x:v>1</x:v>
      </x:c>
      <x:c r="O41" s="3">
        <x:f>N41*E41</x:f>
        <x:v>6</x:v>
      </x:c>
      <x:c r="P41" s="8" t="inlineStr">
        <x:is>
          <x:t xml:space="preserve">In-house Prep</x:t>
        </x:is>
      </x:c>
    </x:row>
    <x:row r="42">
      <x:c r="A42" s="8" t="inlineStr">
        <x:is>
          <x:t xml:space="preserve">Orgeat (Almond)</x:t>
        </x:is>
      </x:c>
      <x:c r="B42" s="8" t="inlineStr">
        <x:is>
          <x:t xml:space="preserve">Prep/Syrup</x:t>
        </x:is>
      </x:c>
      <x:c r="C42" s="2" t="inlineStr">
        <x:is>
          <x:t xml:space="preserve">oz</x:t>
        </x:is>
      </x:c>
      <x:c r="D42" s="6" t="n">
        <x:v>33.8</x:v>
      </x:c>
      <x:c r="E42" s="3" t="n">
        <x:v>8</x:v>
      </x:c>
      <x:c r="F42" s="6" t="n">
        <x:v>2</x:v>
      </x:c>
      <x:c r="G42" s="6">
        <x:f>D42*F42</x:f>
        <x:v>67.6</x:v>
      </x:c>
      <x:c r="H42" s="6" t="n">
        <x:v>1</x:v>
      </x:c>
      <x:c r="I42" s="6" t="n">
        <x:v>3</x:v>
      </x:c>
      <x:c r="J42" s="2">
        <x:f>IF(F42&lt;=H42,"YES","")</x:f>
      </x:c>
      <x:c r="K42" s="6" t="n">
        <x:v>11</x:v>
      </x:c>
      <x:c r="L42" s="9">
        <x:f>IF(K42=0,"-",G42/K42*7)</x:f>
        <x:v>43.018181818181816</x:v>
      </x:c>
      <x:c r="M42" s="3">
        <x:f>E42*F42</x:f>
        <x:v>16</x:v>
      </x:c>
      <x:c r="N42" s="6">
        <x:f>MAX(0,I42-F42)</x:f>
        <x:v>1</x:v>
      </x:c>
      <x:c r="O42" s="3">
        <x:f>N42*E42</x:f>
        <x:v>8</x:v>
      </x:c>
      <x:c r="P42" s="8" t="inlineStr">
        <x:is>
          <x:t xml:space="preserve">In-house Prep</x:t>
        </x:is>
      </x:c>
    </x:row>
    <x:row r="43">
      <x:c r="A43" s="8" t="inlineStr">
        <x:is>
          <x:t xml:space="preserve">Melon Syrup</x:t>
        </x:is>
      </x:c>
      <x:c r="B43" s="8" t="inlineStr">
        <x:is>
          <x:t xml:space="preserve">Prep/Syrup</x:t>
        </x:is>
      </x:c>
      <x:c r="C43" s="2" t="inlineStr">
        <x:is>
          <x:t xml:space="preserve">oz</x:t>
        </x:is>
      </x:c>
      <x:c r="D43" s="6" t="n">
        <x:v>33.8</x:v>
      </x:c>
      <x:c r="E43" s="3" t="n">
        <x:v>6.5</x:v>
      </x:c>
      <x:c r="F43" s="6" t="n">
        <x:v>1</x:v>
      </x:c>
      <x:c r="G43" s="6">
        <x:f>D43*F43</x:f>
        <x:v>33.8</x:v>
      </x:c>
      <x:c r="H43" s="6" t="n">
        <x:v>1</x:v>
      </x:c>
      <x:c r="I43" s="6" t="n">
        <x:v>2</x:v>
      </x:c>
      <x:c r="J43" s="2" t="str">
        <x:f>IF(F43&lt;=H43,"YES","")</x:f>
        <x:v>YES</x:v>
      </x:c>
      <x:c r="K43" s="6" t="n">
        <x:v>4.5</x:v>
      </x:c>
      <x:c r="L43" s="9">
        <x:f>IF(K43=0,"-",G43/K43*7)</x:f>
        <x:v>52.57777777777777</x:v>
      </x:c>
      <x:c r="M43" s="3">
        <x:f>E43*F43</x:f>
        <x:v>6.5</x:v>
      </x:c>
      <x:c r="N43" s="6">
        <x:f>MAX(0,I43-F43)</x:f>
        <x:v>1</x:v>
      </x:c>
      <x:c r="O43" s="3">
        <x:f>N43*E43</x:f>
        <x:v>6.5</x:v>
      </x:c>
      <x:c r="P43" s="8" t="inlineStr">
        <x:is>
          <x:t xml:space="preserve">In-house Prep</x:t>
        </x:is>
      </x:c>
    </x:row>
    <x:row r="44">
      <x:c r="A44" s="8" t="inlineStr">
        <x:is>
          <x:t xml:space="preserve">Butterscotch Syrup</x:t>
        </x:is>
      </x:c>
      <x:c r="B44" s="8" t="inlineStr">
        <x:is>
          <x:t xml:space="preserve">Prep/Syrup</x:t>
        </x:is>
      </x:c>
      <x:c r="C44" s="2" t="inlineStr">
        <x:is>
          <x:t xml:space="preserve">oz</x:t>
        </x:is>
      </x:c>
      <x:c r="D44" s="6" t="n">
        <x:v>33.8</x:v>
      </x:c>
      <x:c r="E44" s="3" t="n">
        <x:v>6.5</x:v>
      </x:c>
      <x:c r="F44" s="6" t="n">
        <x:v>1</x:v>
      </x:c>
      <x:c r="G44" s="6">
        <x:f>D44*F44</x:f>
        <x:v>33.8</x:v>
      </x:c>
      <x:c r="H44" s="6" t="n">
        <x:v>1</x:v>
      </x:c>
      <x:c r="I44" s="6" t="n">
        <x:v>2</x:v>
      </x:c>
      <x:c r="J44" s="2" t="str">
        <x:f>IF(F44&lt;=H44,"YES","")</x:f>
        <x:v>YES</x:v>
      </x:c>
      <x:c r="K44" s="6" t="n">
        <x:v>5.5</x:v>
      </x:c>
      <x:c r="L44" s="9">
        <x:f>IF(K44=0,"-",G44/K44*7)</x:f>
        <x:v>43.018181818181816</x:v>
      </x:c>
      <x:c r="M44" s="3">
        <x:f>E44*F44</x:f>
        <x:v>6.5</x:v>
      </x:c>
      <x:c r="N44" s="6">
        <x:f>MAX(0,I44-F44)</x:f>
        <x:v>1</x:v>
      </x:c>
      <x:c r="O44" s="3">
        <x:f>N44*E44</x:f>
        <x:v>6.5</x:v>
      </x:c>
      <x:c r="P44" s="8" t="inlineStr">
        <x:is>
          <x:t xml:space="preserve">In-house Prep</x:t>
        </x:is>
      </x:c>
    </x:row>
    <x:row r="45">
      <x:c r="A45" s="8" t="inlineStr">
        <x:is>
          <x:t xml:space="preserve">Blue Curacao Foam Base</x:t>
        </x:is>
      </x:c>
      <x:c r="B45" s="8" t="inlineStr">
        <x:is>
          <x:t xml:space="preserve">Prep/Syrup</x:t>
        </x:is>
      </x:c>
      <x:c r="C45" s="2" t="inlineStr">
        <x:is>
          <x:t xml:space="preserve">oz</x:t>
        </x:is>
      </x:c>
      <x:c r="D45" s="6" t="n">
        <x:v>33.8</x:v>
      </x:c>
      <x:c r="E45" s="3" t="n">
        <x:v>9</x:v>
      </x:c>
      <x:c r="F45" s="6" t="n">
        <x:v>1</x:v>
      </x:c>
      <x:c r="G45" s="6">
        <x:f>D45*F45</x:f>
        <x:v>33.8</x:v>
      </x:c>
      <x:c r="H45" s="6" t="n">
        <x:v>1</x:v>
      </x:c>
      <x:c r="I45" s="6" t="n">
        <x:v>2</x:v>
      </x:c>
      <x:c r="J45" s="2" t="str">
        <x:f>IF(F45&lt;=H45,"YES","")</x:f>
        <x:v>YES</x:v>
      </x:c>
      <x:c r="K45" s="6" t="n">
        <x:v>7.5</x:v>
      </x:c>
      <x:c r="L45" s="9">
        <x:f>IF(K45=0,"-",G45/K45*7)</x:f>
        <x:v>31.54666666666666</x:v>
      </x:c>
      <x:c r="M45" s="3">
        <x:f>E45*F45</x:f>
        <x:v>9</x:v>
      </x:c>
      <x:c r="N45" s="6">
        <x:f>MAX(0,I45-F45)</x:f>
        <x:v>1</x:v>
      </x:c>
      <x:c r="O45" s="3">
        <x:f>N45*E45</x:f>
        <x:v>9</x:v>
      </x:c>
      <x:c r="P45" s="8" t="inlineStr">
        <x:is>
          <x:t xml:space="preserve">In-house Prep</x:t>
        </x:is>
      </x:c>
    </x:row>
    <x:row r="46">
      <x:c r="A46" s="8" t="inlineStr">
        <x:is>
          <x:t xml:space="preserve">Carrot Juice</x:t>
        </x:is>
      </x:c>
      <x:c r="B46" s="8" t="inlineStr">
        <x:is>
          <x:t xml:space="preserve">Juice/Puree</x:t>
        </x:is>
      </x:c>
      <x:c r="C46" s="2" t="inlineStr">
        <x:is>
          <x:t xml:space="preserve">oz</x:t>
        </x:is>
      </x:c>
      <x:c r="D46" s="6" t="n">
        <x:v>33.8</x:v>
      </x:c>
      <x:c r="E46" s="3" t="n">
        <x:v>5.5</x:v>
      </x:c>
      <x:c r="F46" s="6" t="n">
        <x:v>2</x:v>
      </x:c>
      <x:c r="G46" s="6">
        <x:f>D46*F46</x:f>
        <x:v>67.6</x:v>
      </x:c>
      <x:c r="H46" s="6" t="n">
        <x:v>1</x:v>
      </x:c>
      <x:c r="I46" s="6" t="n">
        <x:v>3</x:v>
      </x:c>
      <x:c r="J46" s="2">
        <x:f>IF(F46&lt;=H46,"YES","")</x:f>
      </x:c>
      <x:c r="K46" s="6" t="n">
        <x:v>23</x:v>
      </x:c>
      <x:c r="L46" s="9">
        <x:f>IF(K46=0,"-",G46/K46*7)</x:f>
        <x:v>20.57391304347826</x:v>
      </x:c>
      <x:c r="M46" s="3">
        <x:f>E46*F46</x:f>
        <x:v>11</x:v>
      </x:c>
      <x:c r="N46" s="6">
        <x:f>MAX(0,I46-F46)</x:f>
        <x:v>1</x:v>
      </x:c>
      <x:c r="O46" s="3">
        <x:f>N46*E46</x:f>
        <x:v>5.5</x:v>
      </x:c>
      <x:c r="P46" s="8" t="inlineStr">
        <x:is>
          <x:t xml:space="preserve">Produce Vendor</x:t>
        </x:is>
      </x:c>
    </x:row>
    <x:row r="47">
      <x:c r="A47" s="8" t="inlineStr">
        <x:is>
          <x:t xml:space="preserve">Apricot Syrup</x:t>
        </x:is>
      </x:c>
      <x:c r="B47" s="8" t="inlineStr">
        <x:is>
          <x:t xml:space="preserve">Prep/Syrup</x:t>
        </x:is>
      </x:c>
      <x:c r="C47" s="2" t="inlineStr">
        <x:is>
          <x:t xml:space="preserve">oz</x:t>
        </x:is>
      </x:c>
      <x:c r="D47" s="6" t="n">
        <x:v>33.8</x:v>
      </x:c>
      <x:c r="E47" s="3" t="n">
        <x:v>6</x:v>
      </x:c>
      <x:c r="F47" s="6" t="n">
        <x:v>1</x:v>
      </x:c>
      <x:c r="G47" s="6">
        <x:f>D47*F47</x:f>
        <x:v>33.8</x:v>
      </x:c>
      <x:c r="H47" s="6" t="n">
        <x:v>1</x:v>
      </x:c>
      <x:c r="I47" s="6" t="n">
        <x:v>2</x:v>
      </x:c>
      <x:c r="J47" s="2" t="str">
        <x:f>IF(F47&lt;=H47,"YES","")</x:f>
        <x:v>YES</x:v>
      </x:c>
      <x:c r="K47" s="6" t="n">
        <x:v>10</x:v>
      </x:c>
      <x:c r="L47" s="9">
        <x:f>IF(K47=0,"-",G47/K47*7)</x:f>
        <x:v>23.66</x:v>
      </x:c>
      <x:c r="M47" s="3">
        <x:f>E47*F47</x:f>
        <x:v>6</x:v>
      </x:c>
      <x:c r="N47" s="6">
        <x:f>MAX(0,I47-F47)</x:f>
        <x:v>1</x:v>
      </x:c>
      <x:c r="O47" s="3">
        <x:f>N47*E47</x:f>
        <x:v>6</x:v>
      </x:c>
      <x:c r="P47" s="8" t="inlineStr">
        <x:is>
          <x:t xml:space="preserve">In-house Prep</x:t>
        </x:is>
      </x:c>
    </x:row>
    <x:row r="48">
      <x:c r="A48" s="8" t="inlineStr">
        <x:is>
          <x:t xml:space="preserve">Passionfruit Puree</x:t>
        </x:is>
      </x:c>
      <x:c r="B48" s="8" t="inlineStr">
        <x:is>
          <x:t xml:space="preserve">Juice/Puree</x:t>
        </x:is>
      </x:c>
      <x:c r="C48" s="2" t="inlineStr">
        <x:is>
          <x:t xml:space="preserve">oz</x:t>
        </x:is>
      </x:c>
      <x:c r="D48" s="6" t="n">
        <x:v>33.8</x:v>
      </x:c>
      <x:c r="E48" s="3" t="n">
        <x:v>10</x:v>
      </x:c>
      <x:c r="F48" s="6" t="n">
        <x:v>2</x:v>
      </x:c>
      <x:c r="G48" s="6">
        <x:f>D48*F48</x:f>
        <x:v>67.6</x:v>
      </x:c>
      <x:c r="H48" s="6" t="n">
        <x:v>1</x:v>
      </x:c>
      <x:c r="I48" s="6" t="n">
        <x:v>3</x:v>
      </x:c>
      <x:c r="J48" s="2">
        <x:f>IF(F48&lt;=H48,"YES","")</x:f>
      </x:c>
      <x:c r="K48" s="6" t="n">
        <x:v>26.75</x:v>
      </x:c>
      <x:c r="L48" s="9">
        <x:f>IF(K48=0,"-",G48/K48*7)</x:f>
        <x:v>17.689719626168223</x:v>
      </x:c>
      <x:c r="M48" s="3">
        <x:f>E48*F48</x:f>
        <x:v>20</x:v>
      </x:c>
      <x:c r="N48" s="6">
        <x:f>MAX(0,I48-F48)</x:f>
        <x:v>1</x:v>
      </x:c>
      <x:c r="O48" s="3">
        <x:f>N48*E48</x:f>
        <x:v>10</x:v>
      </x:c>
      <x:c r="P48" s="8" t="inlineStr">
        <x:is>
          <x:t xml:space="preserve">Produce Vendor</x:t>
        </x:is>
      </x:c>
    </x:row>
    <x:row r="49">
      <x:c r="A49" s="8" t="inlineStr">
        <x:is>
          <x:t xml:space="preserve">Strawberry Puree</x:t>
        </x:is>
      </x:c>
      <x:c r="B49" s="8" t="inlineStr">
        <x:is>
          <x:t xml:space="preserve">Juice/Puree</x:t>
        </x:is>
      </x:c>
      <x:c r="C49" s="2" t="inlineStr">
        <x:is>
          <x:t xml:space="preserve">oz</x:t>
        </x:is>
      </x:c>
      <x:c r="D49" s="6" t="n">
        <x:v>33.8</x:v>
      </x:c>
      <x:c r="E49" s="3" t="n">
        <x:v>8</x:v>
      </x:c>
      <x:c r="F49" s="6" t="n">
        <x:v>1</x:v>
      </x:c>
      <x:c r="G49" s="6">
        <x:f>D49*F49</x:f>
        <x:v>33.8</x:v>
      </x:c>
      <x:c r="H49" s="6" t="n">
        <x:v>1</x:v>
      </x:c>
      <x:c r="I49" s="6" t="n">
        <x:v>2</x:v>
      </x:c>
      <x:c r="J49" s="2" t="str">
        <x:f>IF(F49&lt;=H49,"YES","")</x:f>
        <x:v>YES</x:v>
      </x:c>
      <x:c r="K49" s="6" t="n">
        <x:v>12.5</x:v>
      </x:c>
      <x:c r="L49" s="9">
        <x:f>IF(K49=0,"-",G49/K49*7)</x:f>
        <x:v>18.927999999999997</x:v>
      </x:c>
      <x:c r="M49" s="3">
        <x:f>E49*F49</x:f>
        <x:v>8</x:v>
      </x:c>
      <x:c r="N49" s="6">
        <x:f>MAX(0,I49-F49)</x:f>
        <x:v>1</x:v>
      </x:c>
      <x:c r="O49" s="3">
        <x:f>N49*E49</x:f>
        <x:v>8</x:v>
      </x:c>
      <x:c r="P49" s="8" t="inlineStr">
        <x:is>
          <x:t xml:space="preserve">Produce Vendor</x:t>
        </x:is>
      </x:c>
    </x:row>
    <x:row r="50">
      <x:c r="A50" s="8" t="inlineStr">
        <x:is>
          <x:t xml:space="preserve">Pink Guava Puree</x:t>
        </x:is>
      </x:c>
      <x:c r="B50" s="8" t="inlineStr">
        <x:is>
          <x:t xml:space="preserve">Juice/Puree</x:t>
        </x:is>
      </x:c>
      <x:c r="C50" s="2" t="inlineStr">
        <x:is>
          <x:t xml:space="preserve">oz</x:t>
        </x:is>
      </x:c>
      <x:c r="D50" s="6" t="n">
        <x:v>33.8</x:v>
      </x:c>
      <x:c r="E50" s="3" t="n">
        <x:v>7.5</x:v>
      </x:c>
      <x:c r="F50" s="6" t="n">
        <x:v>1</x:v>
      </x:c>
      <x:c r="G50" s="6">
        <x:f>D50*F50</x:f>
        <x:v>33.8</x:v>
      </x:c>
      <x:c r="H50" s="6" t="n">
        <x:v>1</x:v>
      </x:c>
      <x:c r="I50" s="6" t="n">
        <x:v>2</x:v>
      </x:c>
      <x:c r="J50" s="2" t="str">
        <x:f>IF(F50&lt;=H50,"YES","")</x:f>
        <x:v>YES</x:v>
      </x:c>
      <x:c r="K50" s="6" t="n">
        <x:v>10</x:v>
      </x:c>
      <x:c r="L50" s="9">
        <x:f>IF(K50=0,"-",G50/K50*7)</x:f>
        <x:v>23.66</x:v>
      </x:c>
      <x:c r="M50" s="3">
        <x:f>E50*F50</x:f>
        <x:v>7.5</x:v>
      </x:c>
      <x:c r="N50" s="6">
        <x:f>MAX(0,I50-F50)</x:f>
        <x:v>1</x:v>
      </x:c>
      <x:c r="O50" s="3">
        <x:f>N50*E50</x:f>
        <x:v>7.5</x:v>
      </x:c>
      <x:c r="P50" s="8" t="inlineStr">
        <x:is>
          <x:t xml:space="preserve">Produce Vendor</x:t>
        </x:is>
      </x:c>
    </x:row>
    <x:row r="51">
      <x:c r="A51" s="8" t="inlineStr">
        <x:is>
          <x:t xml:space="preserve">Dragonfruit Puree</x:t>
        </x:is>
      </x:c>
      <x:c r="B51" s="8" t="inlineStr">
        <x:is>
          <x:t xml:space="preserve">Juice/Puree</x:t>
        </x:is>
      </x:c>
      <x:c r="C51" s="2" t="inlineStr">
        <x:is>
          <x:t xml:space="preserve">oz</x:t>
        </x:is>
      </x:c>
      <x:c r="D51" s="6" t="n">
        <x:v>33.8</x:v>
      </x:c>
      <x:c r="E51" s="3" t="n">
        <x:v>9</x:v>
      </x:c>
      <x:c r="F51" s="6" t="n">
        <x:v>1</x:v>
      </x:c>
      <x:c r="G51" s="6">
        <x:f>D51*F51</x:f>
      </x:c>
      <x:c r="H51" s="6" t="n">
        <x:v>1</x:v>
      </x:c>
      <x:c r="I51" s="6" t="n">
        <x:v>2</x:v>
      </x:c>
      <x:c r="J51" s="2">
        <x:f>IF(F51&lt;=H51,"YES","")</x:f>
      </x:c>
      <x:c r="K51" s="6" t="n">
        <x:v>11.25</x:v>
      </x:c>
      <x:c r="L51" s="9">
        <x:f>IF(K51=0,"-",G51/K51*7)</x:f>
      </x:c>
      <x:c r="M51" s="3">
        <x:f>E51*F51</x:f>
      </x:c>
      <x:c r="N51" s="6">
        <x:f>MAX(0,I51-F51)</x:f>
      </x:c>
      <x:c r="O51" s="3">
        <x:f>N51*E51</x:f>
      </x:c>
      <x:c r="P51" s="8" t="inlineStr">
        <x:is>
          <x:t xml:space="preserve">Produce Vendor</x:t>
        </x:is>
      </x:c>
    </x:row>
    <x:row r="52">
      <x:c r="A52" s="8" t="inlineStr">
        <x:is>
          <x:t xml:space="preserve">Japanese Citrus Juice</x:t>
        </x:is>
      </x:c>
      <x:c r="B52" s="8" t="inlineStr">
        <x:is>
          <x:t xml:space="preserve">Juice/Puree</x:t>
        </x:is>
      </x:c>
      <x:c r="C52" s="2" t="inlineStr">
        <x:is>
          <x:t xml:space="preserve">oz</x:t>
        </x:is>
      </x:c>
      <x:c r="D52" s="6" t="n">
        <x:v>33.8</x:v>
      </x:c>
      <x:c r="E52" s="3" t="n">
        <x:v>12</x:v>
      </x:c>
      <x:c r="F52" s="6" t="n">
        <x:v>1</x:v>
      </x:c>
      <x:c r="G52" s="6">
        <x:f>D52*F52</x:f>
      </x:c>
      <x:c r="H52" s="6" t="n">
        <x:v>1</x:v>
      </x:c>
      <x:c r="I52" s="6" t="n">
        <x:v>2</x:v>
      </x:c>
      <x:c r="J52" s="2">
        <x:f>IF(F52&lt;=H52,"YES","")</x:f>
      </x:c>
      <x:c r="K52" s="6" t="n">
        <x:v>5</x:v>
      </x:c>
      <x:c r="L52" s="9">
        <x:f>IF(K52=0,"-",G52/K52*7)</x:f>
      </x:c>
      <x:c r="M52" s="3">
        <x:f>E52*F52</x:f>
      </x:c>
      <x:c r="N52" s="6">
        <x:f>MAX(0,I52-F52)</x:f>
      </x:c>
      <x:c r="O52" s="3">
        <x:f>N52*E52</x:f>
      </x:c>
      <x:c r="P52" s="8" t="inlineStr">
        <x:is>
          <x:t xml:space="preserve">Specialty Importer</x:t>
        </x:is>
      </x:c>
    </x:row>
    <x:row r="53">
      <x:c r="A53" s="8" t="inlineStr">
        <x:is>
          <x:t xml:space="preserve">Peach Syrup</x:t>
        </x:is>
      </x:c>
      <x:c r="B53" s="8" t="inlineStr">
        <x:is>
          <x:t xml:space="preserve">Prep/Syrup</x:t>
        </x:is>
      </x:c>
      <x:c r="C53" s="2" t="inlineStr">
        <x:is>
          <x:t xml:space="preserve">oz</x:t>
        </x:is>
      </x:c>
      <x:c r="D53" s="6" t="n">
        <x:v>33.8</x:v>
      </x:c>
      <x:c r="E53" s="3" t="n">
        <x:v>6</x:v>
      </x:c>
      <x:c r="F53" s="6" t="n">
        <x:v>1</x:v>
      </x:c>
      <x:c r="G53" s="6">
        <x:f>D53*F53</x:f>
      </x:c>
      <x:c r="H53" s="6" t="n">
        <x:v>1</x:v>
      </x:c>
      <x:c r="I53" s="6" t="n">
        <x:v>2</x:v>
      </x:c>
      <x:c r="J53" s="2">
        <x:f>IF(F53&lt;=H53,"YES","")</x:f>
      </x:c>
      <x:c r="K53" s="6" t="n">
        <x:v>4.5</x:v>
      </x:c>
      <x:c r="L53" s="9">
        <x:f>IF(K53=0,"-",G53/K53*7)</x:f>
      </x:c>
      <x:c r="M53" s="3">
        <x:f>E53*F53</x:f>
      </x:c>
      <x:c r="N53" s="6">
        <x:f>MAX(0,I53-F53)</x:f>
      </x:c>
      <x:c r="O53" s="3">
        <x:f>N53*E53</x:f>
      </x:c>
      <x:c r="P53" s="8" t="inlineStr">
        <x:is>
          <x:t xml:space="preserve">In-house Prep</x:t>
        </x:is>
      </x:c>
    </x:row>
    <x:row r="54">
      <x:c r="A54" s="8" t="inlineStr">
        <x:is>
          <x:t xml:space="preserve">Sun-Dried Tomato Sherry</x:t>
        </x:is>
      </x:c>
      <x:c r="B54" s="8" t="inlineStr">
        <x:is>
          <x:t xml:space="preserve">Prep/Infusion</x:t>
        </x:is>
      </x:c>
      <x:c r="C54" s="2" t="inlineStr">
        <x:is>
          <x:t xml:space="preserve">oz</x:t>
        </x:is>
      </x:c>
      <x:c r="D54" s="6" t="n">
        <x:v>25.36</x:v>
      </x:c>
      <x:c r="E54" s="3" t="n">
        <x:v>2</x:v>
      </x:c>
      <x:c r="F54" s="6" t="n">
        <x:v>3</x:v>
      </x:c>
      <x:c r="G54" s="6">
        <x:f>D54*F54</x:f>
      </x:c>
      <x:c r="H54" s="6" t="n">
        <x:v>1</x:v>
      </x:c>
      <x:c r="I54" s="6" t="n">
        <x:v>4</x:v>
      </x:c>
      <x:c r="J54" s="2">
        <x:f>IF(F54&lt;=H54,"YES","")</x:f>
      </x:c>
      <x:c r="K54" s="6" t="n">
        <x:v>10</x:v>
      </x:c>
      <x:c r="L54" s="9">
        <x:f>IF(K54=0,"-",G54/K54*7)</x:f>
      </x:c>
      <x:c r="M54" s="3">
        <x:f>E54*F54</x:f>
      </x:c>
      <x:c r="N54" s="6">
        <x:f>MAX(0,I54-F54)</x:f>
      </x:c>
      <x:c r="O54" s="3">
        <x:f>N54*E54</x:f>
      </x:c>
      <x:c r="P54" s="8" t="inlineStr">
        <x:is>
          <x:t xml:space="preserve">In-house Prep</x:t>
        </x:is>
      </x:c>
    </x:row>
    <x:row r="55">
      <x:c r="A55" s="8" t="inlineStr">
        <x:is>
          <x:t xml:space="preserve">Spicy Rye Wine</x:t>
        </x:is>
      </x:c>
      <x:c r="B55" s="8" t="inlineStr">
        <x:is>
          <x:t xml:space="preserve">Wine</x:t>
        </x:is>
      </x:c>
      <x:c r="C55" s="2" t="inlineStr">
        <x:is>
          <x:t xml:space="preserve">oz</x:t>
        </x:is>
      </x:c>
      <x:c r="D55" s="6" t="n">
        <x:v>25.36</x:v>
      </x:c>
      <x:c r="E55" s="3" t="n">
        <x:v>14</x:v>
      </x:c>
      <x:c r="F55" s="6" t="n">
        <x:v>2</x:v>
      </x:c>
      <x:c r="G55" s="6">
        <x:f>D55*F55</x:f>
      </x:c>
      <x:c r="H55" s="6" t="n">
        <x:v>1</x:v>
      </x:c>
      <x:c r="I55" s="6" t="n">
        <x:v>3</x:v>
      </x:c>
      <x:c r="J55" s="2">
        <x:f>IF(F55&lt;=H55,"YES","")</x:f>
      </x:c>
      <x:c r="K55" s="6" t="n">
        <x:v>8</x:v>
      </x:c>
      <x:c r="L55" s="9">
        <x:f>IF(K55=0,"-",G55/K55*7)</x:f>
      </x:c>
      <x:c r="M55" s="3">
        <x:f>E55*F55</x:f>
      </x:c>
      <x:c r="N55" s="6">
        <x:f>MAX(0,I55-F55)</x:f>
      </x:c>
      <x:c r="O55" s="3">
        <x:f>N55*E55</x:f>
      </x:c>
      <x:c r="P55" s="8" t="inlineStr">
        <x:is>
          <x:t xml:space="preserve">Wine Vendor</x:t>
        </x:is>
      </x:c>
    </x:row>
    <x:row r="56">
      <x:c r="A56" s="8" t="inlineStr">
        <x:is>
          <x:t xml:space="preserve">Poblano Syrup</x:t>
        </x:is>
      </x:c>
      <x:c r="B56" s="8" t="inlineStr">
        <x:is>
          <x:t xml:space="preserve">Prep/Syrup</x:t>
        </x:is>
      </x:c>
      <x:c r="C56" s="2" t="inlineStr">
        <x:is>
          <x:t xml:space="preserve">oz</x:t>
        </x:is>
      </x:c>
      <x:c r="D56" s="6" t="n">
        <x:v>33.8</x:v>
      </x:c>
      <x:c r="E56" s="3" t="n">
        <x:v>6.5</x:v>
      </x:c>
      <x:c r="F56" s="6" t="n">
        <x:v>1</x:v>
      </x:c>
      <x:c r="G56" s="6">
        <x:f>D56*F56</x:f>
      </x:c>
      <x:c r="H56" s="6" t="n">
        <x:v>1</x:v>
      </x:c>
      <x:c r="I56" s="6" t="n">
        <x:v>2</x:v>
      </x:c>
      <x:c r="J56" s="2">
        <x:f>IF(F56&lt;=H56,"YES","")</x:f>
      </x:c>
      <x:c r="K56" s="6" t="n">
        <x:v>1.4</x:v>
      </x:c>
      <x:c r="L56" s="9">
        <x:f>IF(K56=0,"-",G56/K56*7)</x:f>
      </x:c>
      <x:c r="M56" s="3">
        <x:f>E56*F56</x:f>
      </x:c>
      <x:c r="N56" s="6">
        <x:f>MAX(0,I56-F56)</x:f>
      </x:c>
      <x:c r="O56" s="3">
        <x:f>N56*E56</x:f>
      </x:c>
      <x:c r="P56" s="8" t="inlineStr">
        <x:is>
          <x:t xml:space="preserve">In-house Prep</x:t>
        </x:is>
      </x:c>
    </x:row>
    <x:row r="57">
      <x:c r="A57" s="8" t="inlineStr">
        <x:is>
          <x:t xml:space="preserve">Lemon Juice</x:t>
        </x:is>
      </x:c>
      <x:c r="B57" s="8" t="inlineStr">
        <x:is>
          <x:t xml:space="preserve">Juice</x:t>
        </x:is>
      </x:c>
      <x:c r="C57" s="2" t="inlineStr">
        <x:is>
          <x:t xml:space="preserve">oz</x:t>
        </x:is>
      </x:c>
      <x:c r="D57" s="6" t="n">
        <x:v>128</x:v>
      </x:c>
      <x:c r="E57" s="3" t="n">
        <x:v>12</x:v>
      </x:c>
      <x:c r="F57" s="6" t="n">
        <x:v>1.5</x:v>
      </x:c>
      <x:c r="G57" s="6">
        <x:f>D57*F57</x:f>
      </x:c>
      <x:c r="H57" s="6" t="n">
        <x:v>0.5</x:v>
      </x:c>
      <x:c r="I57" s="6" t="n">
        <x:v>2</x:v>
      </x:c>
      <x:c r="J57" s="2">
        <x:f>IF(F57&lt;=H57,"YES","")</x:f>
      </x:c>
      <x:c r="K57" s="6" t="n">
        <x:v>71.25</x:v>
      </x:c>
      <x:c r="L57" s="9">
        <x:f>IF(K57=0,"-",G57/K57*7)</x:f>
      </x:c>
      <x:c r="M57" s="3">
        <x:f>E57*F57</x:f>
      </x:c>
      <x:c r="N57" s="6">
        <x:f>MAX(0,I57-F57)</x:f>
      </x:c>
      <x:c r="O57" s="3">
        <x:f>N57*E57</x:f>
      </x:c>
      <x:c r="P57" s="8" t="inlineStr">
        <x:is>
          <x:t xml:space="preserve">In-house Prep</x:t>
        </x:is>
      </x:c>
    </x:row>
    <x:row r="58">
      <x:c r="A58" s="8" t="inlineStr">
        <x:is>
          <x:t xml:space="preserve">Lime Juice</x:t>
        </x:is>
      </x:c>
      <x:c r="B58" s="8" t="inlineStr">
        <x:is>
          <x:t xml:space="preserve">Juice</x:t>
        </x:is>
      </x:c>
      <x:c r="C58" s="2" t="inlineStr">
        <x:is>
          <x:t xml:space="preserve">oz</x:t>
        </x:is>
      </x:c>
      <x:c r="D58" s="6" t="n">
        <x:v>128</x:v>
      </x:c>
      <x:c r="E58" s="3" t="n">
        <x:v>12</x:v>
      </x:c>
      <x:c r="F58" s="6" t="n">
        <x:v>1.5</x:v>
      </x:c>
      <x:c r="G58" s="6">
        <x:f>D58*F58</x:f>
      </x:c>
      <x:c r="H58" s="6" t="n">
        <x:v>0.5</x:v>
      </x:c>
      <x:c r="I58" s="6" t="n">
        <x:v>2</x:v>
      </x:c>
      <x:c r="J58" s="2">
        <x:f>IF(F58&lt;=H58,"YES","")</x:f>
      </x:c>
      <x:c r="K58" s="6" t="n">
        <x:v>87</x:v>
      </x:c>
      <x:c r="L58" s="9">
        <x:f>IF(K58=0,"-",G58/K58*7)</x:f>
      </x:c>
      <x:c r="M58" s="3">
        <x:f>E58*F58</x:f>
      </x:c>
      <x:c r="N58" s="6">
        <x:f>MAX(0,I58-F58)</x:f>
      </x:c>
      <x:c r="O58" s="3">
        <x:f>N58*E58</x:f>
      </x:c>
      <x:c r="P58" s="8" t="inlineStr">
        <x:is>
          <x:t xml:space="preserve">In-house Prep</x:t>
        </x:is>
      </x:c>
    </x:row>
    <x:row r="59">
      <x:c r="A59" s="8" t="inlineStr">
        <x:is>
          <x:t xml:space="preserve">Coconut Cream</x:t>
        </x:is>
      </x:c>
      <x:c r="B59" s="8" t="inlineStr">
        <x:is>
          <x:t xml:space="preserve">Dairy/Alt</x:t>
        </x:is>
      </x:c>
      <x:c r="C59" s="2" t="inlineStr">
        <x:is>
          <x:t xml:space="preserve">oz</x:t>
        </x:is>
      </x:c>
      <x:c r="D59" s="6" t="n">
        <x:v>13.5</x:v>
      </x:c>
      <x:c r="E59" s="3" t="n">
        <x:v>2.5</x:v>
      </x:c>
      <x:c r="F59" s="6" t="n">
        <x:v>10</x:v>
      </x:c>
      <x:c r="G59" s="6">
        <x:f>D59*F59</x:f>
      </x:c>
      <x:c r="H59" s="6" t="n">
        <x:v>4</x:v>
      </x:c>
      <x:c r="I59" s="6" t="n">
        <x:v>16</x:v>
      </x:c>
      <x:c r="J59" s="2">
        <x:f>IF(F59&lt;=H59,"YES","")</x:f>
      </x:c>
      <x:c r="K59" s="6" t="n">
        <x:v>36.5</x:v>
      </x:c>
      <x:c r="L59" s="9">
        <x:f>IF(K59=0,"-",G59/K59*7)</x:f>
      </x:c>
      <x:c r="M59" s="3">
        <x:f>E59*F59</x:f>
      </x:c>
      <x:c r="N59" s="6">
        <x:f>MAX(0,I59-F59)</x:f>
      </x:c>
      <x:c r="O59" s="3">
        <x:f>N59*E59</x:f>
      </x:c>
      <x:c r="P59" s="8" t="inlineStr">
        <x:is>
          <x:t xml:space="preserve">Grocery Supplier</x:t>
        </x:is>
      </x:c>
    </x:row>
    <x:row r="60">
      <x:c r="A60" s="8" t="inlineStr">
        <x:is>
          <x:t xml:space="preserve">Milk</x:t>
        </x:is>
      </x:c>
      <x:c r="B60" s="8" t="inlineStr">
        <x:is>
          <x:t xml:space="preserve">Dairy</x:t>
        </x:is>
      </x:c>
      <x:c r="C60" s="2" t="inlineStr">
        <x:is>
          <x:t xml:space="preserve">oz</x:t>
        </x:is>
      </x:c>
      <x:c r="D60" s="6" t="n">
        <x:v>128</x:v>
      </x:c>
      <x:c r="E60" s="3" t="n">
        <x:v>3.5</x:v>
      </x:c>
      <x:c r="F60" s="6" t="n">
        <x:v>1</x:v>
      </x:c>
      <x:c r="G60" s="6">
        <x:f>D60*F60</x:f>
      </x:c>
      <x:c r="H60" s="6" t="n">
        <x:v>0.5</x:v>
      </x:c>
      <x:c r="I60" s="6" t="n">
        <x:v>2</x:v>
      </x:c>
      <x:c r="J60" s="2">
        <x:f>IF(F60&lt;=H60,"YES","")</x:f>
      </x:c>
      <x:c r="K60" s="6" t="n">
        <x:v>8</x:v>
      </x:c>
      <x:c r="L60" s="9">
        <x:f>IF(K60=0,"-",G60/K60*7)</x:f>
      </x:c>
      <x:c r="M60" s="3">
        <x:f>E60*F60</x:f>
      </x:c>
      <x:c r="N60" s="6">
        <x:f>MAX(0,I60-F60)</x:f>
      </x:c>
      <x:c r="O60" s="3">
        <x:f>N60*E60</x:f>
      </x:c>
      <x:c r="P60" s="8" t="inlineStr">
        <x:is>
          <x:t xml:space="preserve">Grocery Supplier</x:t>
        </x:is>
      </x:c>
    </x:row>
    <x:row r="61">
      <x:c r="A61" s="8" t="inlineStr">
        <x:is>
          <x:t xml:space="preserve">Egg Whites</x:t>
        </x:is>
      </x:c>
      <x:c r="B61" s="8" t="inlineStr">
        <x:is>
          <x:t xml:space="preserve">Dairy/Egg</x:t>
        </x:is>
      </x:c>
      <x:c r="C61" s="2" t="inlineStr">
        <x:is>
          <x:t xml:space="preserve">oz</x:t>
        </x:is>
      </x:c>
      <x:c r="D61" s="6" t="n">
        <x:v>32</x:v>
      </x:c>
      <x:c r="E61" s="3" t="n">
        <x:v>6</x:v>
      </x:c>
      <x:c r="F61" s="6" t="n">
        <x:v>2</x:v>
      </x:c>
      <x:c r="G61" s="6">
        <x:f>D61*F61</x:f>
      </x:c>
      <x:c r="H61" s="6" t="n">
        <x:v>1</x:v>
      </x:c>
      <x:c r="I61" s="6" t="n">
        <x:v>3</x:v>
      </x:c>
      <x:c r="J61" s="2">
        <x:f>IF(F61&lt;=H61,"YES","")</x:f>
      </x:c>
      <x:c r="K61" s="6" t="n">
        <x:v>7.5</x:v>
      </x:c>
      <x:c r="L61" s="9">
        <x:f>IF(K61=0,"-",G61/K61*7)</x:f>
      </x:c>
      <x:c r="M61" s="3">
        <x:f>E61*F61</x:f>
      </x:c>
      <x:c r="N61" s="6">
        <x:f>MAX(0,I61-F61)</x:f>
      </x:c>
      <x:c r="O61" s="3">
        <x:f>N61*E61</x:f>
      </x:c>
      <x:c r="P61" s="8" t="inlineStr">
        <x:is>
          <x:t xml:space="preserve">Grocery Supplier</x:t>
        </x:is>
      </x:c>
    </x:row>
    <x:row r="62">
      <x:c r="A62" s="8" t="inlineStr">
        <x:is>
          <x:t xml:space="preserve">Tamari</x:t>
        </x:is>
      </x:c>
      <x:c r="B62" s="8" t="inlineStr">
        <x:is>
          <x:t xml:space="preserve">Pantry</x:t>
        </x:is>
      </x:c>
      <x:c r="C62" s="2" t="inlineStr">
        <x:is>
          <x:t xml:space="preserve">oz</x:t>
        </x:is>
      </x:c>
      <x:c r="D62" s="6" t="n">
        <x:v>33.8</x:v>
      </x:c>
      <x:c r="E62" s="3" t="n">
        <x:v>4</x:v>
      </x:c>
      <x:c r="F62" s="6" t="n">
        <x:v>1</x:v>
      </x:c>
      <x:c r="G62" s="6">
        <x:f>D62*F62</x:f>
      </x:c>
      <x:c r="H62" s="6" t="n">
        <x:v>0.5</x:v>
      </x:c>
      <x:c r="I62" s="6" t="n">
        <x:v>2</x:v>
      </x:c>
      <x:c r="J62" s="2">
        <x:f>IF(F62&lt;=H62,"YES","")</x:f>
      </x:c>
      <x:c r="K62" s="6" t="n">
        <x:v>2</x:v>
      </x:c>
      <x:c r="L62" s="9">
        <x:f>IF(K62=0,"-",G62/K62*7)</x:f>
      </x:c>
      <x:c r="M62" s="3">
        <x:f>E62*F62</x:f>
      </x:c>
      <x:c r="N62" s="6">
        <x:f>MAX(0,I62-F62)</x:f>
      </x:c>
      <x:c r="O62" s="3">
        <x:f>N62*E62</x:f>
      </x:c>
      <x:c r="P62" s="8" t="inlineStr">
        <x:is>
          <x:t xml:space="preserve">Grocery Supplier</x:t>
        </x:is>
      </x:c>
    </x:row>
    <x:row r="63">
      <x:c r="A63" s="8" t="inlineStr">
        <x:is>
          <x:t xml:space="preserve">Topo Chico</x:t>
        </x:is>
      </x:c>
      <x:c r="B63" s="8" t="inlineStr">
        <x:is>
          <x:t xml:space="preserve">Mixer</x:t>
        </x:is>
      </x:c>
      <x:c r="C63" s="2" t="inlineStr">
        <x:is>
          <x:t xml:space="preserve">oz</x:t>
        </x:is>
      </x:c>
      <x:c r="D63" s="6" t="n">
        <x:v>12</x:v>
      </x:c>
      <x:c r="E63" s="3" t="n">
        <x:v>1.4</x:v>
      </x:c>
      <x:c r="F63" s="6" t="n">
        <x:v>24</x:v>
      </x:c>
      <x:c r="G63" s="6">
        <x:f>D63*F63</x:f>
      </x:c>
      <x:c r="H63" s="6" t="n">
        <x:v>8</x:v>
      </x:c>
      <x:c r="I63" s="6" t="n">
        <x:v>36</x:v>
      </x:c>
      <x:c r="J63" s="2">
        <x:f>IF(F63&lt;=H63,"YES","")</x:f>
      </x:c>
      <x:c r="K63" s="6" t="n">
        <x:v>44</x:v>
      </x:c>
      <x:c r="L63" s="9">
        <x:f>IF(K63=0,"-",G63/K63*7)</x:f>
      </x:c>
      <x:c r="M63" s="3">
        <x:f>E63*F63</x:f>
      </x:c>
      <x:c r="N63" s="6">
        <x:f>MAX(0,I63-F63)</x:f>
      </x:c>
      <x:c r="O63" s="3">
        <x:f>N63*E63</x:f>
      </x:c>
      <x:c r="P63" s="8" t="inlineStr">
        <x:is>
          <x:t xml:space="preserve">Beverage Distributor</x:t>
        </x:is>
      </x:c>
    </x:row>
    <x:row r="64">
      <x:c r="A64" s="8" t="inlineStr">
        <x:is>
          <x:t xml:space="preserve">Serrano Peppers</x:t>
        </x:is>
      </x:c>
      <x:c r="B64" s="8" t="inlineStr">
        <x:is>
          <x:t xml:space="preserve">Produce</x:t>
        </x:is>
      </x:c>
      <x:c r="C64" s="2" t="inlineStr">
        <x:is>
          <x:t xml:space="preserve">oz</x:t>
        </x:is>
      </x:c>
      <x:c r="D64" s="6" t="n">
        <x:v>16</x:v>
      </x:c>
      <x:c r="E64" s="3" t="n">
        <x:v>6</x:v>
      </x:c>
      <x:c r="F64" s="6" t="n">
        <x:v>1</x:v>
      </x:c>
      <x:c r="G64" s="6">
        <x:f>D64*F64</x:f>
      </x:c>
      <x:c r="H64" s="6" t="n">
        <x:v>0.5</x:v>
      </x:c>
      <x:c r="I64" s="6" t="n">
        <x:v>2</x:v>
      </x:c>
      <x:c r="J64" s="2">
        <x:f>IF(F64&lt;=H64,"YES","")</x:f>
      </x:c>
      <x:c r="K64" s="6" t="n">
        <x:v>5.5</x:v>
      </x:c>
      <x:c r="L64" s="9">
        <x:f>IF(K64=0,"-",G64/K64*7)</x:f>
      </x:c>
      <x:c r="M64" s="3">
        <x:f>E64*F64</x:f>
      </x:c>
      <x:c r="N64" s="6">
        <x:f>MAX(0,I64-F64)</x:f>
      </x:c>
      <x:c r="O64" s="3">
        <x:f>N64*E64</x:f>
      </x:c>
      <x:c r="P64" s="8" t="inlineStr">
        <x:is>
          <x:t xml:space="preserve">Produce Vendor</x:t>
        </x:is>
      </x:c>
    </x:row>
    <x:row r="65">
      <x:c r="A65" s="8" t="inlineStr">
        <x:is>
          <x:t xml:space="preserve">Tajin</x:t>
        </x:is>
      </x:c>
      <x:c r="B65" s="8" t="inlineStr">
        <x:is>
          <x:t xml:space="preserve">Seasoning</x:t>
        </x:is>
      </x:c>
      <x:c r="C65" s="2" t="inlineStr">
        <x:is>
          <x:t xml:space="preserve">g</x:t>
        </x:is>
      </x:c>
      <x:c r="D65" s="6" t="n">
        <x:v>226.8</x:v>
      </x:c>
      <x:c r="E65" s="3" t="n">
        <x:v>4.5</x:v>
      </x:c>
      <x:c r="F65" s="6" t="n">
        <x:v>2</x:v>
      </x:c>
      <x:c r="G65" s="6">
        <x:f>D65*F65</x:f>
      </x:c>
      <x:c r="H65" s="6" t="n">
        <x:v>1</x:v>
      </x:c>
      <x:c r="I65" s="6" t="n">
        <x:v>3</x:v>
      </x:c>
      <x:c r="J65" s="2">
        <x:f>IF(F65&lt;=H65,"YES","")</x:f>
      </x:c>
      <x:c r="K65" s="6" t="n">
        <x:v>55</x:v>
      </x:c>
      <x:c r="L65" s="9">
        <x:f>IF(K65=0,"-",G65/K65*7)</x:f>
      </x:c>
      <x:c r="M65" s="3">
        <x:f>E65*F65</x:f>
      </x:c>
      <x:c r="N65" s="6">
        <x:f>MAX(0,I65-F65)</x:f>
      </x:c>
      <x:c r="O65" s="3">
        <x:f>N65*E65</x:f>
      </x:c>
      <x:c r="P65" s="8" t="inlineStr">
        <x:is>
          <x:t xml:space="preserve">Grocery Supplier</x:t>
        </x:is>
      </x:c>
    </x:row>
    <x:row r="66">
      <x:c r="A66" s="8" t="inlineStr">
        <x:is>
          <x:t xml:space="preserve">Malic Acid</x:t>
        </x:is>
      </x:c>
      <x:c r="B66" s="8" t="inlineStr">
        <x:is>
          <x:t xml:space="preserve">Pantry</x:t>
        </x:is>
      </x:c>
      <x:c r="C66" s="2" t="inlineStr">
        <x:is>
          <x:t xml:space="preserve">g</x:t>
        </x:is>
      </x:c>
      <x:c r="D66" s="6" t="n">
        <x:v>500</x:v>
      </x:c>
      <x:c r="E66" s="3" t="n">
        <x:v>9</x:v>
      </x:c>
      <x:c r="F66" s="6" t="n">
        <x:v>1</x:v>
      </x:c>
      <x:c r="G66" s="6">
        <x:f>D66*F66</x:f>
      </x:c>
      <x:c r="H66" s="6" t="n">
        <x:v>0.5</x:v>
      </x:c>
      <x:c r="I66" s="6" t="n">
        <x:v>2</x:v>
      </x:c>
      <x:c r="J66" s="2">
        <x:f>IF(F66&lt;=H66,"YES","")</x:f>
      </x:c>
      <x:c r="K66" s="6" t="n">
        <x:v>36</x:v>
      </x:c>
      <x:c r="L66" s="9">
        <x:f>IF(K66=0,"-",G66/K66*7)</x:f>
      </x:c>
      <x:c r="M66" s="3">
        <x:f>E66*F66</x:f>
      </x:c>
      <x:c r="N66" s="6">
        <x:f>MAX(0,I66-F66)</x:f>
      </x:c>
      <x:c r="O66" s="3">
        <x:f>N66*E66</x:f>
      </x:c>
      <x:c r="P66" s="8" t="inlineStr">
        <x:is>
          <x:t xml:space="preserve">Specialty Supplier</x:t>
        </x:is>
      </x:c>
    </x:row>
  </x:sheetData>
  <x:conditionalFormatting sqref="A2:P66">
    <x:cfRule type="expression" dxfId="0" priority="1">
      <x:formula>$J2="YES"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8" customWidth="1"/>
    <x:col min="3" max="3" width="4" customWidth="1"/>
    <x:col min="4" max="4" width="20" customWidth="1"/>
    <x:col min="5" max="5" width="20" customWidth="1"/>
  </x:cols>
  <x:sheetData>
    <x:row r="1">
      <x:c r="A1" s="10" t="inlineStr">
        <x:is>
          <x:t xml:space="preserve">Menu-driven Inventory Summary</x:t>
        </x:is>
      </x:c>
    </x:row>
    <x:row r="3">
      <x:c r="A3" t="inlineStr">
        <x:is>
          <x:t xml:space="preserve">As-of date</x:t>
        </x:is>
      </x:c>
      <x:c r="B3" t="inlineStr">
        <x:is>
          <x:t xml:space="preserve">2026-02-10</x:t>
        </x:is>
      </x:c>
    </x:row>
    <x:row r="5">
      <x:c r="A5" t="inlineStr">
        <x:is>
          <x:t xml:space="preserve">Total inventory value</x:t>
        </x:is>
      </x:c>
      <x:c r="B5" s="11">
        <x:f>SUM(Inventory!M2:M66)</x:f>
        <x:v>2509.5</x:v>
      </x:c>
    </x:row>
    <x:row r="6">
      <x:c r="A6" t="inlineStr">
        <x:is>
          <x:t xml:space="preserve">Items needing reorder</x:t>
        </x:is>
      </x:c>
      <x:c r="B6" s="12">
        <x:f>COUNTIF(Inventory!J2:J66,"YES")</x:f>
        <x:v>12</x:v>
      </x:c>
    </x:row>
    <x:row r="8">
      <x:c r="A8" t="inlineStr">
        <x:is>
          <x:t xml:space="preserve">Top 10 ingredients by weekly usage (base units)</x:t>
        </x:is>
      </x:c>
    </x:row>
    <x:row r="9">
      <x:c r="A9" s="13" t="inlineStr">
        <x:is>
          <x:t xml:space="preserve">Ingredient</x:t>
        </x:is>
      </x:c>
      <x:c r="B9" s="13" t="inlineStr">
        <x:is>
          <x:t xml:space="preserve">Weekly usage</x:t>
        </x:is>
      </x:c>
    </x:row>
    <x:row r="10">
      <x:c r="A10" s="8" t="inlineStr">
        <x:is>
          <x:t xml:space="preserve">Mezcal</x:t>
        </x:is>
      </x:c>
      <x:c r="B10" s="16" t="n">
        <x:v>165.5</x:v>
      </x:c>
    </x:row>
    <x:row r="11">
      <x:c r="A11" s="8" t="inlineStr">
        <x:is>
          <x:t xml:space="preserve">Lime Juice</x:t>
        </x:is>
      </x:c>
      <x:c r="B11" s="16" t="n">
        <x:v>87</x:v>
      </x:c>
    </x:row>
    <x:row r="12">
      <x:c r="A12" s="8" t="inlineStr">
        <x:is>
          <x:t xml:space="preserve">Lemon Juice</x:t>
        </x:is>
      </x:c>
      <x:c r="B12" s="16" t="n">
        <x:v>71.25</x:v>
      </x:c>
    </x:row>
    <x:row r="13">
      <x:c r="A13" s="8" t="inlineStr">
        <x:is>
          <x:t xml:space="preserve">Rieger Gin</x:t>
        </x:is>
      </x:c>
      <x:c r="B13" s="16" t="n">
        <x:v>64.5</x:v>
      </x:c>
    </x:row>
    <x:row r="14">
      <x:c r="A14" s="8" t="inlineStr">
        <x:is>
          <x:t xml:space="preserve">Tajin</x:t>
        </x:is>
      </x:c>
      <x:c r="B14" s="16" t="n">
        <x:v>55</x:v>
      </x:c>
    </x:row>
    <x:row r="15">
      <x:c r="A15" s="8" t="inlineStr">
        <x:is>
          <x:t xml:space="preserve">Sparkling Wine</x:t>
        </x:is>
      </x:c>
      <x:c r="B15" s="16" t="n">
        <x:v>50</x:v>
      </x:c>
    </x:row>
    <x:row r="16">
      <x:c r="A16" s="8" t="inlineStr">
        <x:is>
          <x:t xml:space="preserve">Topo Chico</x:t>
        </x:is>
      </x:c>
      <x:c r="B16" s="16" t="n">
        <x:v>44</x:v>
      </x:c>
    </x:row>
    <x:row r="17">
      <x:c r="A17" s="8" t="inlineStr">
        <x:is>
          <x:t xml:space="preserve">Agave Shrub</x:t>
        </x:is>
      </x:c>
      <x:c r="B17" s="16" t="n">
        <x:v>41.25</x:v>
      </x:c>
    </x:row>
    <x:row r="18">
      <x:c r="A18" s="8" t="inlineStr">
        <x:is>
          <x:t xml:space="preserve">Reposado Tequila</x:t>
        </x:is>
      </x:c>
      <x:c r="B18" s="16" t="n">
        <x:v>37.5</x:v>
      </x:c>
    </x:row>
    <x:row r="19">
      <x:c r="A19" s="8" t="inlineStr">
        <x:is>
          <x:t xml:space="preserve">Coconut Cream</x:t>
        </x:is>
      </x:c>
      <x:c r="B19" s="16" t="n">
        <x:v>36.5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customWidth="1"/>
  </x:cols>
  <x:sheetData>
    <x:row r="1">
      <x:c r="A1" s="10" t="inlineStr">
        <x:is>
          <x:t xml:space="preserve">Project Velox — Menu-Based Inventory (Mock Data)</x:t>
        </x:is>
      </x:c>
    </x:row>
    <x:row r="3">
      <x:c r="A3" s="15" t="inlineStr">
        <x:is>
          <x:t xml:space="preserve">What this file does:</x:t>
        </x:is>
      </x:c>
    </x:row>
    <x:row r="4">
      <x:c r="A4" s="15" t="inlineStr">
        <x:is>
          <x:t xml:space="preserve">• Translates the Lazy Tiger menu into recipe-level ingredient usage.</x:t>
        </x:is>
      </x:c>
    </x:row>
    <x:row r="5">
      <x:c r="A5" s="15" t="inlineStr">
        <x:is>
          <x:t xml:space="preserve">• Uses a simple weekly sales forecast to estimate weekly ingredient depletion.</x:t>
        </x:is>
      </x:c>
    </x:row>
    <x:row r="6">
      <x:c r="A6" s="15" t="inlineStr">
        <x:is>
          <x:t xml:space="preserve">• Flags ingredients for reorder when On Hand (pkgs) &lt;= Reorder Point (pkgs).</x:t>
        </x:is>
      </x:c>
    </x:row>
    <x:row r="7">
      <x:c r="A7" s="15" t="inlineStr">
        <x:is>
          <x:t xml:space="preserve"/>
        </x:is>
      </x:c>
    </x:row>
    <x:row r="8">
      <x:c r="A8" s="15" t="inlineStr">
        <x:is>
          <x:t xml:space="preserve">How to use:</x:t>
        </x:is>
      </x:c>
    </x:row>
    <x:row r="9">
      <x:c r="A9" s="15" t="inlineStr">
        <x:is>
          <x:t xml:space="preserve">1) Update weekly sales in the Assumptions sheet (blue numbers).</x:t>
        </x:is>
      </x:c>
    </x:row>
    <x:row r="10">
      <x:c r="A10" s="15" t="inlineStr">
        <x:is>
          <x:t xml:space="preserve">2) Update inventory counts/costs in the Inventory sheet as needed.</x:t>
        </x:is>
      </x:c>
    </x:row>
    <x:row r="11">
      <x:c r="A11" s="15" t="inlineStr">
        <x:is>
          <x:t xml:space="preserve">3) Inventory will recalc weekly usage, days of cover, and reorder suggestions.</x:t>
        </x:is>
      </x:c>
    </x:row>
    <x:row r="12">
      <x:c r="A12" s="15" t="inlineStr">
        <x:is>
          <x:t xml:space="preserve"/>
        </x:is>
      </x:c>
    </x:row>
    <x:row r="13">
      <x:c r="A13" s="15" t="inlineStr">
        <x:is>
          <x:t xml:space="preserve">Notes:</x:t>
        </x:is>
      </x:c>
    </x:row>
    <x:row r="14">
      <x:c r="A14" s="15" t="inlineStr">
        <x:is>
          <x:t xml:space="preserve">• Quantities are reasonable approximations for prototyping (oz/g).</x:t>
        </x:is>
      </x:c>
    </x:row>
    <x:row r="15">
      <x:c r="A15" s="15" t="inlineStr">
        <x:is>
          <x:t xml:space="preserve">• Prep items (syrups, juices) are tracked as pre-batched packages (e.g., 1L).</x:t>
        </x:is>
      </x:c>
    </x:row>
  </x:sheetData>
  <x:pageMargins left="0.7" right="0.7" top="0.75" bottom="0.75" header="0.3" footer="0.3"/>
</x:worksheet>
</file>